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kshaya Venkatasubbu\AppData\Local\Packages\5319275A.WhatsAppDesktop_cv1g1gvanyjgm\LocalState\sessions\F49ADF3F0A9776DACA97902D0A6ACF69C9BFFB51\transfers\2026-37\"/>
    </mc:Choice>
  </mc:AlternateContent>
  <xr:revisionPtr revIDLastSave="0" documentId="8_{C7BF45D8-96CA-487B-A17F-983C6AFECA4E}" xr6:coauthVersionLast="47" xr6:coauthVersionMax="47" xr10:uidLastSave="{00000000-0000-0000-0000-000000000000}"/>
  <bookViews>
    <workbookView xWindow="-108" yWindow="-108" windowWidth="23256" windowHeight="12456" xr2:uid="{00000000-000D-0000-FFFF-FFFF00000000}"/>
  </bookViews>
  <sheets>
    <sheet name="Sheet1" sheetId="3" r:id="rId1"/>
    <sheet name="Sheet2" sheetId="4" r:id="rId2"/>
    <sheet name="Student Marks" sheetId="1" r:id="rId3"/>
    <sheet name="Student Instructions" sheetId="2" r:id="rId4"/>
  </sheets>
  <definedNames>
    <definedName name="_xlnm._FilterDatabase" localSheetId="2" hidden="1">'Student Marks'!$A$1:$K$101</definedName>
    <definedName name="Slicer_Department">#N/A</definedName>
    <definedName name="Slicer_Mathematics">#N/A</definedName>
  </definedNames>
  <calcPr calcId="191029"/>
  <pivotCaches>
    <pivotCache cacheId="14"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 r="J101" i="1"/>
  <c r="K101" i="1" s="1"/>
  <c r="I101" i="1"/>
  <c r="J100" i="1"/>
  <c r="K100" i="1" s="1"/>
  <c r="I100" i="1"/>
  <c r="J99" i="1"/>
  <c r="K99" i="1" s="1"/>
  <c r="I99" i="1"/>
  <c r="J98" i="1"/>
  <c r="K98" i="1" s="1"/>
  <c r="I98" i="1"/>
  <c r="J97" i="1"/>
  <c r="K97" i="1" s="1"/>
  <c r="I97" i="1"/>
  <c r="J96" i="1"/>
  <c r="K96" i="1" s="1"/>
  <c r="I96" i="1"/>
  <c r="J95" i="1"/>
  <c r="K95" i="1" s="1"/>
  <c r="I95" i="1"/>
  <c r="J94" i="1"/>
  <c r="K94" i="1" s="1"/>
  <c r="I94" i="1"/>
  <c r="J93" i="1"/>
  <c r="K93" i="1" s="1"/>
  <c r="I93" i="1"/>
  <c r="J92" i="1"/>
  <c r="K92" i="1" s="1"/>
  <c r="I92" i="1"/>
  <c r="J91" i="1"/>
  <c r="K91" i="1" s="1"/>
  <c r="I91" i="1"/>
  <c r="J90" i="1"/>
  <c r="K90" i="1" s="1"/>
  <c r="I90" i="1"/>
  <c r="K89" i="1"/>
  <c r="J89" i="1"/>
  <c r="I89" i="1"/>
  <c r="J88" i="1"/>
  <c r="K88" i="1" s="1"/>
  <c r="I88" i="1"/>
  <c r="J87" i="1"/>
  <c r="K87" i="1" s="1"/>
  <c r="I87" i="1"/>
  <c r="J86" i="1"/>
  <c r="K86" i="1" s="1"/>
  <c r="I86" i="1"/>
  <c r="J85" i="1"/>
  <c r="K85" i="1" s="1"/>
  <c r="I85" i="1"/>
  <c r="J84" i="1"/>
  <c r="K84" i="1" s="1"/>
  <c r="I84" i="1"/>
  <c r="J83" i="1"/>
  <c r="K83" i="1" s="1"/>
  <c r="I83" i="1"/>
  <c r="J82" i="1"/>
  <c r="K82" i="1" s="1"/>
  <c r="I82" i="1"/>
  <c r="J81" i="1"/>
  <c r="K81" i="1" s="1"/>
  <c r="I81" i="1"/>
  <c r="J80" i="1"/>
  <c r="K80" i="1" s="1"/>
  <c r="I80" i="1"/>
  <c r="J79" i="1"/>
  <c r="K79" i="1" s="1"/>
  <c r="I79" i="1"/>
  <c r="J78" i="1"/>
  <c r="K78" i="1" s="1"/>
  <c r="I78" i="1"/>
  <c r="J77" i="1"/>
  <c r="K77" i="1" s="1"/>
  <c r="I77" i="1"/>
  <c r="J76" i="1"/>
  <c r="K76" i="1" s="1"/>
  <c r="I76" i="1"/>
  <c r="J75" i="1"/>
  <c r="K75" i="1" s="1"/>
  <c r="I75" i="1"/>
  <c r="J74" i="1"/>
  <c r="K74" i="1" s="1"/>
  <c r="I74" i="1"/>
  <c r="J73" i="1"/>
  <c r="K73" i="1" s="1"/>
  <c r="I73" i="1"/>
  <c r="J72" i="1"/>
  <c r="K72" i="1" s="1"/>
  <c r="I72" i="1"/>
  <c r="J71" i="1"/>
  <c r="K71" i="1" s="1"/>
  <c r="I71" i="1"/>
  <c r="J70" i="1"/>
  <c r="K70" i="1" s="1"/>
  <c r="I70" i="1"/>
  <c r="J69" i="1"/>
  <c r="K69" i="1" s="1"/>
  <c r="I69" i="1"/>
  <c r="J68" i="1"/>
  <c r="K68" i="1" s="1"/>
  <c r="I68" i="1"/>
  <c r="J67" i="1"/>
  <c r="K67" i="1" s="1"/>
  <c r="I67" i="1"/>
  <c r="J66" i="1"/>
  <c r="K66" i="1" s="1"/>
  <c r="I66" i="1"/>
  <c r="J65" i="1"/>
  <c r="K65" i="1" s="1"/>
  <c r="I65" i="1"/>
  <c r="K64" i="1"/>
  <c r="J64" i="1"/>
  <c r="I64" i="1"/>
  <c r="J63" i="1"/>
  <c r="K63" i="1" s="1"/>
  <c r="I63" i="1"/>
  <c r="J62" i="1"/>
  <c r="K62" i="1" s="1"/>
  <c r="I62" i="1"/>
  <c r="J61" i="1"/>
  <c r="K61" i="1" s="1"/>
  <c r="I61" i="1"/>
  <c r="J60" i="1"/>
  <c r="K60" i="1" s="1"/>
  <c r="I60" i="1"/>
  <c r="J59" i="1"/>
  <c r="K59" i="1" s="1"/>
  <c r="I59" i="1"/>
  <c r="J58" i="1"/>
  <c r="K58" i="1" s="1"/>
  <c r="I58" i="1"/>
  <c r="J57" i="1"/>
  <c r="K57" i="1" s="1"/>
  <c r="I57" i="1"/>
  <c r="J56" i="1"/>
  <c r="K56" i="1" s="1"/>
  <c r="I56" i="1"/>
  <c r="J55" i="1"/>
  <c r="K55" i="1" s="1"/>
  <c r="I55" i="1"/>
  <c r="J54" i="1"/>
  <c r="K54" i="1" s="1"/>
  <c r="I54" i="1"/>
  <c r="J53" i="1"/>
  <c r="K53" i="1" s="1"/>
  <c r="I53" i="1"/>
  <c r="J52" i="1"/>
  <c r="K52" i="1" s="1"/>
  <c r="I52" i="1"/>
  <c r="J51" i="1"/>
  <c r="K51" i="1" s="1"/>
  <c r="I51" i="1"/>
  <c r="J50" i="1"/>
  <c r="K50" i="1" s="1"/>
  <c r="I50" i="1"/>
  <c r="J49" i="1"/>
  <c r="K49" i="1" s="1"/>
  <c r="I49" i="1"/>
  <c r="J48" i="1"/>
  <c r="K48" i="1" s="1"/>
  <c r="I48" i="1"/>
  <c r="J47" i="1"/>
  <c r="K47" i="1" s="1"/>
  <c r="I47" i="1"/>
  <c r="J46" i="1"/>
  <c r="K46" i="1" s="1"/>
  <c r="I46" i="1"/>
  <c r="J45" i="1"/>
  <c r="K45" i="1" s="1"/>
  <c r="I45" i="1"/>
  <c r="J44" i="1"/>
  <c r="K44" i="1" s="1"/>
  <c r="I44" i="1"/>
  <c r="J43" i="1"/>
  <c r="K43" i="1" s="1"/>
  <c r="I43" i="1"/>
  <c r="J42" i="1"/>
  <c r="K42" i="1" s="1"/>
  <c r="I42" i="1"/>
  <c r="J41" i="1"/>
  <c r="K41" i="1" s="1"/>
  <c r="I41" i="1"/>
  <c r="J40" i="1"/>
  <c r="K40" i="1" s="1"/>
  <c r="I40" i="1"/>
  <c r="K39" i="1"/>
  <c r="J39" i="1"/>
  <c r="I39" i="1"/>
  <c r="J38" i="1"/>
  <c r="K38" i="1" s="1"/>
  <c r="I38" i="1"/>
  <c r="J37" i="1"/>
  <c r="K37" i="1" s="1"/>
  <c r="I37" i="1"/>
  <c r="J36" i="1"/>
  <c r="K36" i="1" s="1"/>
  <c r="I36" i="1"/>
  <c r="J35" i="1"/>
  <c r="K35" i="1" s="1"/>
  <c r="I35" i="1"/>
  <c r="J34" i="1"/>
  <c r="K34" i="1" s="1"/>
  <c r="I34" i="1"/>
  <c r="J33" i="1"/>
  <c r="K33" i="1" s="1"/>
  <c r="I33" i="1"/>
  <c r="J32" i="1"/>
  <c r="K32" i="1" s="1"/>
  <c r="I32" i="1"/>
  <c r="J31" i="1"/>
  <c r="K31" i="1" s="1"/>
  <c r="J30" i="1"/>
  <c r="K30" i="1" s="1"/>
  <c r="I30" i="1"/>
  <c r="J29" i="1"/>
  <c r="K29" i="1" s="1"/>
  <c r="I29" i="1"/>
  <c r="J28" i="1"/>
  <c r="K28" i="1" s="1"/>
  <c r="I28" i="1"/>
  <c r="J27" i="1"/>
  <c r="K27" i="1" s="1"/>
  <c r="I27" i="1"/>
  <c r="J26" i="1"/>
  <c r="K26" i="1" s="1"/>
  <c r="I26" i="1"/>
  <c r="J25" i="1"/>
  <c r="K25" i="1" s="1"/>
  <c r="I25" i="1"/>
  <c r="J24" i="1"/>
  <c r="K24" i="1" s="1"/>
  <c r="I24" i="1"/>
  <c r="J23" i="1"/>
  <c r="K23" i="1" s="1"/>
  <c r="I23" i="1"/>
  <c r="J22" i="1"/>
  <c r="K22" i="1" s="1"/>
  <c r="I22" i="1"/>
  <c r="J21" i="1"/>
  <c r="K21" i="1" s="1"/>
  <c r="I21" i="1"/>
  <c r="J20" i="1"/>
  <c r="K20" i="1" s="1"/>
  <c r="I20" i="1"/>
  <c r="J19" i="1"/>
  <c r="K19" i="1" s="1"/>
  <c r="I19" i="1"/>
  <c r="J18" i="1"/>
  <c r="K18" i="1" s="1"/>
  <c r="I18" i="1"/>
  <c r="J17" i="1"/>
  <c r="K17" i="1" s="1"/>
  <c r="I17" i="1"/>
  <c r="J16" i="1"/>
  <c r="K16" i="1" s="1"/>
  <c r="I16" i="1"/>
  <c r="J15" i="1"/>
  <c r="K15" i="1" s="1"/>
  <c r="I15" i="1"/>
  <c r="J14" i="1"/>
  <c r="K14" i="1" s="1"/>
  <c r="I14" i="1"/>
  <c r="J13" i="1"/>
  <c r="K13" i="1" s="1"/>
  <c r="I13" i="1"/>
  <c r="J12" i="1"/>
  <c r="K12" i="1" s="1"/>
  <c r="I12" i="1"/>
  <c r="J11" i="1"/>
  <c r="K11" i="1" s="1"/>
  <c r="I11" i="1"/>
  <c r="K10" i="1"/>
  <c r="J10" i="1"/>
  <c r="I10" i="1"/>
  <c r="J9" i="1"/>
  <c r="K9" i="1" s="1"/>
  <c r="I9" i="1"/>
  <c r="J8" i="1"/>
  <c r="K8" i="1" s="1"/>
  <c r="I8" i="1"/>
  <c r="J7" i="1"/>
  <c r="K7" i="1" s="1"/>
  <c r="I7" i="1"/>
  <c r="J6" i="1"/>
  <c r="K6" i="1" s="1"/>
  <c r="I6" i="1"/>
  <c r="J5" i="1"/>
  <c r="K5" i="1" s="1"/>
  <c r="I5" i="1"/>
  <c r="J4" i="1"/>
  <c r="K4" i="1" s="1"/>
  <c r="I4" i="1"/>
  <c r="J3" i="1"/>
  <c r="K3" i="1" s="1"/>
  <c r="I3" i="1"/>
  <c r="J2" i="1"/>
  <c r="K2" i="1" s="1"/>
  <c r="I2" i="1"/>
</calcChain>
</file>

<file path=xl/sharedStrings.xml><?xml version="1.0" encoding="utf-8"?>
<sst xmlns="http://schemas.openxmlformats.org/spreadsheetml/2006/main" count="269" uniqueCount="141">
  <si>
    <t>S.No</t>
  </si>
  <si>
    <t>Student Name</t>
  </si>
  <si>
    <t>Department</t>
  </si>
  <si>
    <t>Mathematics</t>
  </si>
  <si>
    <t>Physics</t>
  </si>
  <si>
    <t>Programming</t>
  </si>
  <si>
    <t>Engineering Drawing</t>
  </si>
  <si>
    <t>English</t>
  </si>
  <si>
    <t>Total</t>
  </si>
  <si>
    <t>Average</t>
  </si>
  <si>
    <t>Result</t>
  </si>
  <si>
    <t>Arun</t>
  </si>
  <si>
    <t>CSE</t>
  </si>
  <si>
    <t>Priya</t>
  </si>
  <si>
    <t>ECE</t>
  </si>
  <si>
    <t>Ravi</t>
  </si>
  <si>
    <t>EEE</t>
  </si>
  <si>
    <t>Sneha</t>
  </si>
  <si>
    <t>MECH</t>
  </si>
  <si>
    <t>Karthik</t>
  </si>
  <si>
    <t>CIVIL</t>
  </si>
  <si>
    <t>Ananya</t>
  </si>
  <si>
    <t>Vignesh</t>
  </si>
  <si>
    <t>Divya</t>
  </si>
  <si>
    <t>Rahul</t>
  </si>
  <si>
    <t>Meena</t>
  </si>
  <si>
    <t>Sanjay</t>
  </si>
  <si>
    <t>Keerthana</t>
  </si>
  <si>
    <t>Akash</t>
  </si>
  <si>
    <t>Harini</t>
  </si>
  <si>
    <t>Dinesh</t>
  </si>
  <si>
    <t>Swetha</t>
  </si>
  <si>
    <t>Vivek</t>
  </si>
  <si>
    <t>Nandhini</t>
  </si>
  <si>
    <t>Ajay</t>
  </si>
  <si>
    <t>Pooja</t>
  </si>
  <si>
    <t>Suresh</t>
  </si>
  <si>
    <t>Aishwarya</t>
  </si>
  <si>
    <t>Manoj</t>
  </si>
  <si>
    <t>Deepa</t>
  </si>
  <si>
    <t>Surya</t>
  </si>
  <si>
    <t>Kavya</t>
  </si>
  <si>
    <t>Pranav</t>
  </si>
  <si>
    <t>Lakshmi</t>
  </si>
  <si>
    <t>Hari</t>
  </si>
  <si>
    <t>Shreya</t>
  </si>
  <si>
    <t>Gokul</t>
  </si>
  <si>
    <t>Abinaya</t>
  </si>
  <si>
    <t>Bala</t>
  </si>
  <si>
    <t>Dhivya</t>
  </si>
  <si>
    <t>Mohan</t>
  </si>
  <si>
    <t>Reshma</t>
  </si>
  <si>
    <t>Naveen</t>
  </si>
  <si>
    <t>Ishita</t>
  </si>
  <si>
    <t>Vijay</t>
  </si>
  <si>
    <t>Sowmya</t>
  </si>
  <si>
    <t>Kiran</t>
  </si>
  <si>
    <t>Riya</t>
  </si>
  <si>
    <t>Sathish</t>
  </si>
  <si>
    <t>Janani</t>
  </si>
  <si>
    <t>Rohit</t>
  </si>
  <si>
    <t>Monika</t>
  </si>
  <si>
    <t>Aravind</t>
  </si>
  <si>
    <t>Vaishnavi</t>
  </si>
  <si>
    <t>Ashwin</t>
  </si>
  <si>
    <t>Ramya</t>
  </si>
  <si>
    <t>Pradeep</t>
  </si>
  <si>
    <t>Nithya</t>
  </si>
  <si>
    <t>Lokesh</t>
  </si>
  <si>
    <t>Pavithra</t>
  </si>
  <si>
    <t>Karthika</t>
  </si>
  <si>
    <t>Suraj</t>
  </si>
  <si>
    <t>Anu</t>
  </si>
  <si>
    <t>Gowtham</t>
  </si>
  <si>
    <t>Sindhu</t>
  </si>
  <si>
    <t>Aditya</t>
  </si>
  <si>
    <t>Malavika</t>
  </si>
  <si>
    <t>Ganesh</t>
  </si>
  <si>
    <t>Sangeetha</t>
  </si>
  <si>
    <t>Bharath</t>
  </si>
  <si>
    <t>Yamini</t>
  </si>
  <si>
    <t>Nikhil</t>
  </si>
  <si>
    <t>Swathi</t>
  </si>
  <si>
    <t>Madhan</t>
  </si>
  <si>
    <t>Roshini</t>
  </si>
  <si>
    <t>Varun</t>
  </si>
  <si>
    <t>Preethi</t>
  </si>
  <si>
    <t>Sriram</t>
  </si>
  <si>
    <t>Gayathri</t>
  </si>
  <si>
    <t>Vasanth</t>
  </si>
  <si>
    <t>Mithun</t>
  </si>
  <si>
    <t>Shalini</t>
  </si>
  <si>
    <t>Dharshan</t>
  </si>
  <si>
    <t>Anjali</t>
  </si>
  <si>
    <t>Rakesh</t>
  </si>
  <si>
    <t>Tharani</t>
  </si>
  <si>
    <t>Vishnu</t>
  </si>
  <si>
    <t>Aarthi</t>
  </si>
  <si>
    <t>Kishore</t>
  </si>
  <si>
    <t>Mahalakshmi</t>
  </si>
  <si>
    <t>Surya Prakash</t>
  </si>
  <si>
    <t>Nandha</t>
  </si>
  <si>
    <t>Ranjani</t>
  </si>
  <si>
    <t>Siddharth</t>
  </si>
  <si>
    <t>Megha</t>
  </si>
  <si>
    <t>Prakash</t>
  </si>
  <si>
    <t>Hema</t>
  </si>
  <si>
    <t>Yogesh</t>
  </si>
  <si>
    <t>Sowmya Devi</t>
  </si>
  <si>
    <t>Vimal</t>
  </si>
  <si>
    <t>Kaviya</t>
  </si>
  <si>
    <t>Rithika</t>
  </si>
  <si>
    <t>Dhanush</t>
  </si>
  <si>
    <t>Naveena</t>
  </si>
  <si>
    <t>Abhishek</t>
  </si>
  <si>
    <t>Nithin</t>
  </si>
  <si>
    <t>Task 1</t>
  </si>
  <si>
    <t>Enter and inspect the 100 student records.</t>
  </si>
  <si>
    <t>Task 2</t>
  </si>
  <si>
    <t>Format the data and identify rows, columns and cells.</t>
  </si>
  <si>
    <t>Task 3</t>
  </si>
  <si>
    <t>Use the Excel Table filters to find students by department.</t>
  </si>
  <si>
    <t>Task 4</t>
  </si>
  <si>
    <t>Calculate Total using SUM.</t>
  </si>
  <si>
    <t>Task 5</t>
  </si>
  <si>
    <t>Calculate Average using AVERAGE.</t>
  </si>
  <si>
    <t>Task 6</t>
  </si>
  <si>
    <t>Find the highest and lowest marks using MAX and MIN.</t>
  </si>
  <si>
    <t>Task 7</t>
  </si>
  <si>
    <t>Sort students by Average marks.</t>
  </si>
  <si>
    <t>Task 8</t>
  </si>
  <si>
    <t>Use Conditional Formatting to identify high and low marks.</t>
  </si>
  <si>
    <t>Task 9</t>
  </si>
  <si>
    <t>Identify the top-performing student.</t>
  </si>
  <si>
    <t>Row Labels</t>
  </si>
  <si>
    <t>Grand Total</t>
  </si>
  <si>
    <t>Sum of Mathematics</t>
  </si>
  <si>
    <t>Sum of Physics</t>
  </si>
  <si>
    <t>Sum of Programming</t>
  </si>
  <si>
    <t>Sum of Engineering Drawing</t>
  </si>
  <si>
    <t>Sum of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</si>
</sst>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name val="Calibri"/>
    </font>
    <font>
      <b/>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0" fillId="0" borderId="0" xfId="0" applyAlignment="1">
      <alignment horizontal="center"/>
    </xf>
    <xf numFmtId="2" fontId="0" fillId="0" borderId="0" xfId="0" applyNumberFormat="1" applyAlignment="1">
      <alignment horizontal="center"/>
    </xf>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tota</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CIVIL</c:v>
                </c:pt>
                <c:pt idx="1">
                  <c:v>CSE</c:v>
                </c:pt>
                <c:pt idx="2">
                  <c:v>ECE</c:v>
                </c:pt>
                <c:pt idx="3">
                  <c:v>EEE</c:v>
                </c:pt>
                <c:pt idx="4">
                  <c:v>MECH</c:v>
                </c:pt>
              </c:strCache>
            </c:strRef>
          </c:cat>
          <c:val>
            <c:numRef>
              <c:f>Sheet1!$B$4:$B$9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0-8D35-43D9-8189-925FCE6D3894}"/>
            </c:ext>
          </c:extLst>
        </c:ser>
        <c:dLbls>
          <c:showLegendKey val="0"/>
          <c:showVal val="0"/>
          <c:showCatName val="0"/>
          <c:showSerName val="0"/>
          <c:showPercent val="0"/>
          <c:showBubbleSize val="0"/>
        </c:dLbls>
        <c:gapWidth val="219"/>
        <c:overlap val="-27"/>
        <c:axId val="1408174896"/>
        <c:axId val="1555077744"/>
      </c:barChart>
      <c:catAx>
        <c:axId val="14081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077744"/>
        <c:crosses val="autoZero"/>
        <c:auto val="1"/>
        <c:lblAlgn val="ctr"/>
        <c:lblOffset val="100"/>
        <c:noMultiLvlLbl val="0"/>
      </c:catAx>
      <c:valAx>
        <c:axId val="15550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Sheet1!$A$4:$A$9</c:f>
              <c:strCache>
                <c:ptCount val="5"/>
                <c:pt idx="0">
                  <c:v>CIVIL</c:v>
                </c:pt>
                <c:pt idx="1">
                  <c:v>CSE</c:v>
                </c:pt>
                <c:pt idx="2">
                  <c:v>ECE</c:v>
                </c:pt>
                <c:pt idx="3">
                  <c:v>EEE</c:v>
                </c:pt>
                <c:pt idx="4">
                  <c:v>MECH</c:v>
                </c:pt>
              </c:strCache>
            </c:strRef>
          </c:cat>
          <c:val>
            <c:numRef>
              <c:f>Sheet1!$B$4:$B$9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0-36FD-459D-A2FC-F505EB8133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Sheet1!$A$4:$A$9</c:f>
              <c:strCache>
                <c:ptCount val="5"/>
                <c:pt idx="0">
                  <c:v>CIVIL</c:v>
                </c:pt>
                <c:pt idx="1">
                  <c:v>CSE</c:v>
                </c:pt>
                <c:pt idx="2">
                  <c:v>ECE</c:v>
                </c:pt>
                <c:pt idx="3">
                  <c:v>EEE</c:v>
                </c:pt>
                <c:pt idx="4">
                  <c:v>MECH</c:v>
                </c:pt>
              </c:strCache>
            </c:strRef>
          </c:cat>
          <c:val>
            <c:numRef>
              <c:f>Sheet1!$B$4:$B$9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0-E43E-4B6E-A687-EE1AEE1E6217}"/>
            </c:ext>
          </c:extLst>
        </c:ser>
        <c:dLbls>
          <c:showLegendKey val="0"/>
          <c:showVal val="0"/>
          <c:showCatName val="0"/>
          <c:showSerName val="0"/>
          <c:showPercent val="0"/>
          <c:showBubbleSize val="0"/>
        </c:dLbls>
        <c:axId val="1680713808"/>
        <c:axId val="1393264848"/>
      </c:radarChart>
      <c:catAx>
        <c:axId val="168071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64848"/>
        <c:crosses val="autoZero"/>
        <c:auto val="1"/>
        <c:lblAlgn val="ctr"/>
        <c:lblOffset val="100"/>
        <c:noMultiLvlLbl val="0"/>
      </c:catAx>
      <c:valAx>
        <c:axId val="139326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1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Sheet1!$A$4:$A$9</c:f>
              <c:strCache>
                <c:ptCount val="5"/>
                <c:pt idx="0">
                  <c:v>CIVIL</c:v>
                </c:pt>
                <c:pt idx="1">
                  <c:v>CSE</c:v>
                </c:pt>
                <c:pt idx="2">
                  <c:v>ECE</c:v>
                </c:pt>
                <c:pt idx="3">
                  <c:v>EEE</c:v>
                </c:pt>
                <c:pt idx="4">
                  <c:v>MECH</c:v>
                </c:pt>
              </c:strCache>
            </c:strRef>
          </c:cat>
          <c:val>
            <c:numRef>
              <c:f>Sheet1!$B$4:$B$9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0-7BAE-44AE-B78D-587C3C04D315}"/>
            </c:ext>
          </c:extLst>
        </c:ser>
        <c:dLbls>
          <c:showLegendKey val="0"/>
          <c:showVal val="0"/>
          <c:showCatName val="0"/>
          <c:showSerName val="0"/>
          <c:showPercent val="0"/>
          <c:showBubbleSize val="0"/>
        </c:dLbls>
        <c:axId val="1680713808"/>
        <c:axId val="1393264848"/>
      </c:radarChart>
      <c:catAx>
        <c:axId val="168071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64848"/>
        <c:crosses val="autoZero"/>
        <c:auto val="1"/>
        <c:lblAlgn val="ctr"/>
        <c:lblOffset val="100"/>
        <c:noMultiLvlLbl val="0"/>
      </c:catAx>
      <c:valAx>
        <c:axId val="139326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1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624840</xdr:colOff>
      <xdr:row>13</xdr:row>
      <xdr:rowOff>19050</xdr:rowOff>
    </xdr:from>
    <xdr:to>
      <xdr:col>12</xdr:col>
      <xdr:colOff>182880</xdr:colOff>
      <xdr:row>28</xdr:row>
      <xdr:rowOff>19050</xdr:rowOff>
    </xdr:to>
    <xdr:graphicFrame macro="">
      <xdr:nvGraphicFramePr>
        <xdr:cNvPr id="2" name="Chart 1">
          <a:extLst>
            <a:ext uri="{FF2B5EF4-FFF2-40B4-BE49-F238E27FC236}">
              <a16:creationId xmlns:a16="http://schemas.microsoft.com/office/drawing/2014/main" id="{6319ACEF-02EB-241C-7E07-01EFD6E5B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1287780</xdr:colOff>
      <xdr:row>21</xdr:row>
      <xdr:rowOff>64770</xdr:rowOff>
    </xdr:from>
    <xdr:to>
      <xdr:col>6</xdr:col>
      <xdr:colOff>441960</xdr:colOff>
      <xdr:row>36</xdr:row>
      <xdr:rowOff>64770</xdr:rowOff>
    </xdr:to>
    <xdr:graphicFrame macro="">
      <xdr:nvGraphicFramePr>
        <xdr:cNvPr id="3" name="Chart 2">
          <a:extLst>
            <a:ext uri="{FF2B5EF4-FFF2-40B4-BE49-F238E27FC236}">
              <a16:creationId xmlns:a16="http://schemas.microsoft.com/office/drawing/2014/main" id="{05796AF5-D817-9A06-A9E6-A506458B6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345398</xdr:colOff>
      <xdr:row>0</xdr:row>
      <xdr:rowOff>115361</xdr:rowOff>
    </xdr:from>
    <xdr:to>
      <xdr:col>25</xdr:col>
      <xdr:colOff>24234</xdr:colOff>
      <xdr:row>15</xdr:row>
      <xdr:rowOff>115361</xdr:rowOff>
    </xdr:to>
    <xdr:graphicFrame macro="">
      <xdr:nvGraphicFramePr>
        <xdr:cNvPr id="7" name="Chart 6">
          <a:extLst>
            <a:ext uri="{FF2B5EF4-FFF2-40B4-BE49-F238E27FC236}">
              <a16:creationId xmlns:a16="http://schemas.microsoft.com/office/drawing/2014/main" id="{9FE39394-110B-41E3-2579-844C1F55B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261321</xdr:colOff>
      <xdr:row>13</xdr:row>
      <xdr:rowOff>29583</xdr:rowOff>
    </xdr:from>
    <xdr:to>
      <xdr:col>18</xdr:col>
      <xdr:colOff>274768</xdr:colOff>
      <xdr:row>26</xdr:row>
      <xdr:rowOff>165735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C770FE72-3F86-8544-7663-5AE694B2851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506674" y="236040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237116</xdr:colOff>
      <xdr:row>12</xdr:row>
      <xdr:rowOff>162262</xdr:rowOff>
    </xdr:from>
    <xdr:to>
      <xdr:col>15</xdr:col>
      <xdr:colOff>250563</xdr:colOff>
      <xdr:row>26</xdr:row>
      <xdr:rowOff>119119</xdr:rowOff>
    </xdr:to>
    <mc:AlternateContent xmlns:mc="http://schemas.openxmlformats.org/markup-compatibility/2006">
      <mc:Choice xmlns:a14="http://schemas.microsoft.com/office/drawing/2010/main" Requires="a14">
        <xdr:graphicFrame macro="">
          <xdr:nvGraphicFramePr>
            <xdr:cNvPr id="12" name="Mathematics">
              <a:extLst>
                <a:ext uri="{FF2B5EF4-FFF2-40B4-BE49-F238E27FC236}">
                  <a16:creationId xmlns:a16="http://schemas.microsoft.com/office/drawing/2014/main" id="{BA89EB4F-83E0-8B70-CB86-D6D369F4C4DD}"/>
                </a:ext>
              </a:extLst>
            </xdr:cNvPr>
            <xdr:cNvGraphicFramePr/>
          </xdr:nvGraphicFramePr>
          <xdr:xfrm>
            <a:off x="0" y="0"/>
            <a:ext cx="0" cy="0"/>
          </xdr:xfrm>
          <a:graphic>
            <a:graphicData uri="http://schemas.microsoft.com/office/drawing/2010/slicer">
              <sle:slicer xmlns:sle="http://schemas.microsoft.com/office/drawing/2010/slicer" name="Mathematics"/>
            </a:graphicData>
          </a:graphic>
        </xdr:graphicFrame>
      </mc:Choice>
      <mc:Fallback>
        <xdr:sp macro="" textlink="">
          <xdr:nvSpPr>
            <xdr:cNvPr id="0" name=""/>
            <xdr:cNvSpPr>
              <a:spLocks noTextEdit="1"/>
            </xdr:cNvSpPr>
          </xdr:nvSpPr>
          <xdr:spPr>
            <a:xfrm>
              <a:off x="11667116" y="231379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308423</xdr:colOff>
      <xdr:row>15</xdr:row>
      <xdr:rowOff>67456</xdr:rowOff>
    </xdr:to>
    <xdr:graphicFrame macro="">
      <xdr:nvGraphicFramePr>
        <xdr:cNvPr id="2" name="Chart 1">
          <a:extLst>
            <a:ext uri="{FF2B5EF4-FFF2-40B4-BE49-F238E27FC236}">
              <a16:creationId xmlns:a16="http://schemas.microsoft.com/office/drawing/2014/main" id="{94E26740-3C9E-4C52-98AC-8ACFAD83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Venkatasubbu" refreshedDate="46276.469026388892" createdVersion="8" refreshedVersion="8" minRefreshableVersion="3" recordCount="100" xr:uid="{371508C6-28C8-47E2-ADE6-7911F1D511CB}">
  <cacheSource type="worksheet">
    <worksheetSource ref="C1:H101" sheet="Student Marks"/>
  </cacheSource>
  <cacheFields count="6">
    <cacheField name="Department" numFmtId="0">
      <sharedItems count="5">
        <s v="CSE"/>
        <s v="ECE"/>
        <s v="EEE"/>
        <s v="MECH"/>
        <s v="CIVIL"/>
      </sharedItems>
    </cacheField>
    <cacheField name="Mathematics" numFmtId="0">
      <sharedItems containsSemiMixedTypes="0" containsString="0" containsNumber="1" containsInteger="1" minValue="55" maxValue="98" count="37">
        <n v="91"/>
        <n v="55"/>
        <n v="96"/>
        <n v="75"/>
        <n v="81"/>
        <n v="66"/>
        <n v="63"/>
        <n v="79"/>
        <n v="70"/>
        <n v="82"/>
        <n v="93"/>
        <n v="64"/>
        <n v="67"/>
        <n v="88"/>
        <n v="74"/>
        <n v="69"/>
        <n v="80"/>
        <n v="98"/>
        <n v="85"/>
        <n v="86"/>
        <n v="61"/>
        <n v="89"/>
        <n v="76"/>
        <n v="56"/>
        <n v="73"/>
        <n v="77"/>
        <n v="84"/>
        <n v="90"/>
        <n v="62"/>
        <n v="87"/>
        <n v="83"/>
        <n v="60"/>
        <n v="58"/>
        <n v="92"/>
        <n v="94"/>
        <n v="68"/>
        <n v="95"/>
      </sharedItems>
    </cacheField>
    <cacheField name="Physics" numFmtId="0">
      <sharedItems containsSemiMixedTypes="0" containsString="0" containsNumber="1" containsInteger="1" minValue="55" maxValue="98" count="40">
        <n v="57"/>
        <n v="68"/>
        <n v="65"/>
        <n v="59"/>
        <n v="63"/>
        <n v="73"/>
        <n v="98"/>
        <n v="84"/>
        <n v="67"/>
        <n v="75"/>
        <n v="85"/>
        <n v="87"/>
        <n v="97"/>
        <n v="79"/>
        <n v="62"/>
        <n v="77"/>
        <n v="66"/>
        <n v="55"/>
        <n v="70"/>
        <n v="92"/>
        <n v="93"/>
        <n v="89"/>
        <n v="86"/>
        <n v="81"/>
        <n v="61"/>
        <n v="71"/>
        <n v="88"/>
        <n v="94"/>
        <n v="60"/>
        <n v="78"/>
        <n v="95"/>
        <n v="83"/>
        <n v="56"/>
        <n v="76"/>
        <n v="91"/>
        <n v="82"/>
        <n v="58"/>
        <n v="96"/>
        <n v="69"/>
        <n v="90"/>
      </sharedItems>
    </cacheField>
    <cacheField name="Programming" numFmtId="0">
      <sharedItems containsSemiMixedTypes="0" containsString="0" containsNumber="1" containsInteger="1" minValue="56" maxValue="98"/>
    </cacheField>
    <cacheField name="Engineering Drawing" numFmtId="0">
      <sharedItems containsSemiMixedTypes="0" containsString="0" containsNumber="1" containsInteger="1" minValue="55" maxValue="98"/>
    </cacheField>
    <cacheField name="English" numFmtId="0">
      <sharedItems containsSemiMixedTypes="0" containsString="0" containsNumber="1" containsInteger="1" minValue="55" maxValue="98"/>
    </cacheField>
  </cacheFields>
  <extLst>
    <ext xmlns:x14="http://schemas.microsoft.com/office/spreadsheetml/2009/9/main" uri="{725AE2AE-9491-48be-B2B4-4EB974FC3084}">
      <x14:pivotCacheDefinition pivotCacheId="745047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82"/>
    <n v="85"/>
    <n v="91"/>
  </r>
  <r>
    <x v="1"/>
    <x v="1"/>
    <x v="1"/>
    <n v="84"/>
    <n v="86"/>
    <n v="72"/>
  </r>
  <r>
    <x v="2"/>
    <x v="2"/>
    <x v="2"/>
    <n v="57"/>
    <n v="88"/>
    <n v="86"/>
  </r>
  <r>
    <x v="3"/>
    <x v="3"/>
    <x v="3"/>
    <n v="70"/>
    <n v="78"/>
    <n v="57"/>
  </r>
  <r>
    <x v="4"/>
    <x v="4"/>
    <x v="4"/>
    <n v="93"/>
    <n v="77"/>
    <n v="79"/>
  </r>
  <r>
    <x v="0"/>
    <x v="4"/>
    <x v="5"/>
    <n v="98"/>
    <n v="71"/>
    <n v="84"/>
  </r>
  <r>
    <x v="1"/>
    <x v="5"/>
    <x v="6"/>
    <n v="74"/>
    <n v="97"/>
    <n v="78"/>
  </r>
  <r>
    <x v="2"/>
    <x v="6"/>
    <x v="7"/>
    <n v="70"/>
    <n v="83"/>
    <n v="94"/>
  </r>
  <r>
    <x v="3"/>
    <x v="7"/>
    <x v="0"/>
    <n v="92"/>
    <n v="55"/>
    <n v="70"/>
  </r>
  <r>
    <x v="4"/>
    <x v="6"/>
    <x v="8"/>
    <n v="74"/>
    <n v="89"/>
    <n v="78"/>
  </r>
  <r>
    <x v="0"/>
    <x v="8"/>
    <x v="9"/>
    <n v="97"/>
    <n v="90"/>
    <n v="83"/>
  </r>
  <r>
    <x v="1"/>
    <x v="9"/>
    <x v="10"/>
    <n v="59"/>
    <n v="96"/>
    <n v="92"/>
  </r>
  <r>
    <x v="2"/>
    <x v="3"/>
    <x v="11"/>
    <n v="65"/>
    <n v="69"/>
    <n v="81"/>
  </r>
  <r>
    <x v="3"/>
    <x v="8"/>
    <x v="0"/>
    <n v="57"/>
    <n v="86"/>
    <n v="74"/>
  </r>
  <r>
    <x v="4"/>
    <x v="10"/>
    <x v="12"/>
    <n v="59"/>
    <n v="89"/>
    <n v="60"/>
  </r>
  <r>
    <x v="0"/>
    <x v="11"/>
    <x v="13"/>
    <n v="91"/>
    <n v="78"/>
    <n v="93"/>
  </r>
  <r>
    <x v="1"/>
    <x v="11"/>
    <x v="14"/>
    <n v="61"/>
    <n v="83"/>
    <n v="65"/>
  </r>
  <r>
    <x v="2"/>
    <x v="12"/>
    <x v="15"/>
    <n v="82"/>
    <n v="81"/>
    <n v="83"/>
  </r>
  <r>
    <x v="3"/>
    <x v="8"/>
    <x v="6"/>
    <n v="72"/>
    <n v="64"/>
    <n v="94"/>
  </r>
  <r>
    <x v="4"/>
    <x v="13"/>
    <x v="16"/>
    <n v="62"/>
    <n v="72"/>
    <n v="84"/>
  </r>
  <r>
    <x v="0"/>
    <x v="14"/>
    <x v="2"/>
    <n v="97"/>
    <n v="96"/>
    <n v="66"/>
  </r>
  <r>
    <x v="1"/>
    <x v="5"/>
    <x v="10"/>
    <n v="77"/>
    <n v="75"/>
    <n v="82"/>
  </r>
  <r>
    <x v="2"/>
    <x v="15"/>
    <x v="17"/>
    <n v="89"/>
    <n v="57"/>
    <n v="76"/>
  </r>
  <r>
    <x v="3"/>
    <x v="3"/>
    <x v="18"/>
    <n v="60"/>
    <n v="71"/>
    <n v="83"/>
  </r>
  <r>
    <x v="4"/>
    <x v="16"/>
    <x v="19"/>
    <n v="65"/>
    <n v="79"/>
    <n v="86"/>
  </r>
  <r>
    <x v="0"/>
    <x v="17"/>
    <x v="18"/>
    <n v="88"/>
    <n v="72"/>
    <n v="88"/>
  </r>
  <r>
    <x v="1"/>
    <x v="18"/>
    <x v="20"/>
    <n v="86"/>
    <n v="59"/>
    <n v="65"/>
  </r>
  <r>
    <x v="2"/>
    <x v="19"/>
    <x v="6"/>
    <n v="84"/>
    <n v="80"/>
    <n v="63"/>
  </r>
  <r>
    <x v="3"/>
    <x v="4"/>
    <x v="21"/>
    <n v="92"/>
    <n v="77"/>
    <n v="89"/>
  </r>
  <r>
    <x v="4"/>
    <x v="7"/>
    <x v="22"/>
    <n v="65"/>
    <n v="90"/>
    <n v="83"/>
  </r>
  <r>
    <x v="0"/>
    <x v="20"/>
    <x v="23"/>
    <n v="57"/>
    <n v="55"/>
    <n v="83"/>
  </r>
  <r>
    <x v="1"/>
    <x v="21"/>
    <x v="3"/>
    <n v="58"/>
    <n v="77"/>
    <n v="60"/>
  </r>
  <r>
    <x v="2"/>
    <x v="11"/>
    <x v="24"/>
    <n v="93"/>
    <n v="84"/>
    <n v="86"/>
  </r>
  <r>
    <x v="3"/>
    <x v="6"/>
    <x v="7"/>
    <n v="82"/>
    <n v="87"/>
    <n v="83"/>
  </r>
  <r>
    <x v="4"/>
    <x v="22"/>
    <x v="25"/>
    <n v="84"/>
    <n v="82"/>
    <n v="76"/>
  </r>
  <r>
    <x v="0"/>
    <x v="2"/>
    <x v="26"/>
    <n v="88"/>
    <n v="64"/>
    <n v="70"/>
  </r>
  <r>
    <x v="1"/>
    <x v="3"/>
    <x v="27"/>
    <n v="57"/>
    <n v="98"/>
    <n v="67"/>
  </r>
  <r>
    <x v="2"/>
    <x v="2"/>
    <x v="19"/>
    <n v="91"/>
    <n v="95"/>
    <n v="85"/>
  </r>
  <r>
    <x v="3"/>
    <x v="23"/>
    <x v="14"/>
    <n v="73"/>
    <n v="82"/>
    <n v="70"/>
  </r>
  <r>
    <x v="4"/>
    <x v="24"/>
    <x v="28"/>
    <n v="57"/>
    <n v="93"/>
    <n v="90"/>
  </r>
  <r>
    <x v="0"/>
    <x v="20"/>
    <x v="5"/>
    <n v="65"/>
    <n v="97"/>
    <n v="85"/>
  </r>
  <r>
    <x v="1"/>
    <x v="11"/>
    <x v="29"/>
    <n v="93"/>
    <n v="80"/>
    <n v="67"/>
  </r>
  <r>
    <x v="2"/>
    <x v="25"/>
    <x v="16"/>
    <n v="60"/>
    <n v="92"/>
    <n v="67"/>
  </r>
  <r>
    <x v="3"/>
    <x v="9"/>
    <x v="1"/>
    <n v="61"/>
    <n v="98"/>
    <n v="74"/>
  </r>
  <r>
    <x v="4"/>
    <x v="26"/>
    <x v="26"/>
    <n v="82"/>
    <n v="83"/>
    <n v="97"/>
  </r>
  <r>
    <x v="0"/>
    <x v="27"/>
    <x v="1"/>
    <n v="72"/>
    <n v="93"/>
    <n v="78"/>
  </r>
  <r>
    <x v="1"/>
    <x v="28"/>
    <x v="30"/>
    <n v="95"/>
    <n v="55"/>
    <n v="68"/>
  </r>
  <r>
    <x v="2"/>
    <x v="9"/>
    <x v="27"/>
    <n v="81"/>
    <n v="79"/>
    <n v="96"/>
  </r>
  <r>
    <x v="3"/>
    <x v="12"/>
    <x v="3"/>
    <n v="82"/>
    <n v="60"/>
    <n v="58"/>
  </r>
  <r>
    <x v="4"/>
    <x v="25"/>
    <x v="25"/>
    <n v="78"/>
    <n v="84"/>
    <n v="82"/>
  </r>
  <r>
    <x v="0"/>
    <x v="12"/>
    <x v="30"/>
    <n v="73"/>
    <n v="84"/>
    <n v="73"/>
  </r>
  <r>
    <x v="1"/>
    <x v="29"/>
    <x v="22"/>
    <n v="87"/>
    <n v="71"/>
    <n v="80"/>
  </r>
  <r>
    <x v="2"/>
    <x v="30"/>
    <x v="30"/>
    <n v="76"/>
    <n v="77"/>
    <n v="72"/>
  </r>
  <r>
    <x v="3"/>
    <x v="18"/>
    <x v="31"/>
    <n v="85"/>
    <n v="92"/>
    <n v="85"/>
  </r>
  <r>
    <x v="4"/>
    <x v="31"/>
    <x v="21"/>
    <n v="78"/>
    <n v="80"/>
    <n v="65"/>
  </r>
  <r>
    <x v="0"/>
    <x v="10"/>
    <x v="23"/>
    <n v="91"/>
    <n v="59"/>
    <n v="93"/>
  </r>
  <r>
    <x v="1"/>
    <x v="14"/>
    <x v="32"/>
    <n v="92"/>
    <n v="75"/>
    <n v="96"/>
  </r>
  <r>
    <x v="2"/>
    <x v="3"/>
    <x v="3"/>
    <n v="80"/>
    <n v="94"/>
    <n v="78"/>
  </r>
  <r>
    <x v="3"/>
    <x v="24"/>
    <x v="20"/>
    <n v="66"/>
    <n v="70"/>
    <n v="65"/>
  </r>
  <r>
    <x v="4"/>
    <x v="14"/>
    <x v="24"/>
    <n v="90"/>
    <n v="58"/>
    <n v="69"/>
  </r>
  <r>
    <x v="0"/>
    <x v="0"/>
    <x v="3"/>
    <n v="81"/>
    <n v="67"/>
    <n v="91"/>
  </r>
  <r>
    <x v="1"/>
    <x v="0"/>
    <x v="31"/>
    <n v="92"/>
    <n v="56"/>
    <n v="80"/>
  </r>
  <r>
    <x v="2"/>
    <x v="12"/>
    <x v="33"/>
    <n v="91"/>
    <n v="67"/>
    <n v="88"/>
  </r>
  <r>
    <x v="3"/>
    <x v="0"/>
    <x v="9"/>
    <n v="58"/>
    <n v="97"/>
    <n v="92"/>
  </r>
  <r>
    <x v="4"/>
    <x v="32"/>
    <x v="0"/>
    <n v="91"/>
    <n v="78"/>
    <n v="80"/>
  </r>
  <r>
    <x v="0"/>
    <x v="3"/>
    <x v="20"/>
    <n v="95"/>
    <n v="65"/>
    <n v="65"/>
  </r>
  <r>
    <x v="1"/>
    <x v="28"/>
    <x v="20"/>
    <n v="77"/>
    <n v="65"/>
    <n v="56"/>
  </r>
  <r>
    <x v="2"/>
    <x v="21"/>
    <x v="11"/>
    <n v="77"/>
    <n v="60"/>
    <n v="80"/>
  </r>
  <r>
    <x v="3"/>
    <x v="30"/>
    <x v="34"/>
    <n v="77"/>
    <n v="58"/>
    <n v="64"/>
  </r>
  <r>
    <x v="4"/>
    <x v="30"/>
    <x v="10"/>
    <n v="94"/>
    <n v="83"/>
    <n v="83"/>
  </r>
  <r>
    <x v="0"/>
    <x v="10"/>
    <x v="16"/>
    <n v="77"/>
    <n v="82"/>
    <n v="76"/>
  </r>
  <r>
    <x v="1"/>
    <x v="27"/>
    <x v="11"/>
    <n v="84"/>
    <n v="79"/>
    <n v="67"/>
  </r>
  <r>
    <x v="2"/>
    <x v="20"/>
    <x v="35"/>
    <n v="96"/>
    <n v="64"/>
    <n v="57"/>
  </r>
  <r>
    <x v="3"/>
    <x v="5"/>
    <x v="30"/>
    <n v="95"/>
    <n v="67"/>
    <n v="91"/>
  </r>
  <r>
    <x v="4"/>
    <x v="9"/>
    <x v="29"/>
    <n v="90"/>
    <n v="79"/>
    <n v="58"/>
  </r>
  <r>
    <x v="0"/>
    <x v="10"/>
    <x v="36"/>
    <n v="65"/>
    <n v="74"/>
    <n v="69"/>
  </r>
  <r>
    <x v="1"/>
    <x v="32"/>
    <x v="19"/>
    <n v="66"/>
    <n v="61"/>
    <n v="95"/>
  </r>
  <r>
    <x v="2"/>
    <x v="0"/>
    <x v="29"/>
    <n v="66"/>
    <n v="74"/>
    <n v="57"/>
  </r>
  <r>
    <x v="3"/>
    <x v="16"/>
    <x v="20"/>
    <n v="82"/>
    <n v="59"/>
    <n v="77"/>
  </r>
  <r>
    <x v="4"/>
    <x v="12"/>
    <x v="22"/>
    <n v="65"/>
    <n v="65"/>
    <n v="80"/>
  </r>
  <r>
    <x v="0"/>
    <x v="26"/>
    <x v="33"/>
    <n v="57"/>
    <n v="66"/>
    <n v="66"/>
  </r>
  <r>
    <x v="1"/>
    <x v="33"/>
    <x v="23"/>
    <n v="64"/>
    <n v="87"/>
    <n v="96"/>
  </r>
  <r>
    <x v="2"/>
    <x v="16"/>
    <x v="24"/>
    <n v="80"/>
    <n v="62"/>
    <n v="70"/>
  </r>
  <r>
    <x v="3"/>
    <x v="20"/>
    <x v="35"/>
    <n v="95"/>
    <n v="74"/>
    <n v="73"/>
  </r>
  <r>
    <x v="4"/>
    <x v="21"/>
    <x v="37"/>
    <n v="61"/>
    <n v="77"/>
    <n v="88"/>
  </r>
  <r>
    <x v="0"/>
    <x v="34"/>
    <x v="10"/>
    <n v="93"/>
    <n v="70"/>
    <n v="89"/>
  </r>
  <r>
    <x v="1"/>
    <x v="24"/>
    <x v="17"/>
    <n v="97"/>
    <n v="65"/>
    <n v="98"/>
  </r>
  <r>
    <x v="2"/>
    <x v="7"/>
    <x v="38"/>
    <n v="61"/>
    <n v="87"/>
    <n v="95"/>
  </r>
  <r>
    <x v="3"/>
    <x v="18"/>
    <x v="24"/>
    <n v="91"/>
    <n v="80"/>
    <n v="92"/>
  </r>
  <r>
    <x v="4"/>
    <x v="35"/>
    <x v="5"/>
    <n v="77"/>
    <n v="59"/>
    <n v="67"/>
  </r>
  <r>
    <x v="0"/>
    <x v="34"/>
    <x v="39"/>
    <n v="88"/>
    <n v="56"/>
    <n v="59"/>
  </r>
  <r>
    <x v="1"/>
    <x v="16"/>
    <x v="0"/>
    <n v="56"/>
    <n v="96"/>
    <n v="82"/>
  </r>
  <r>
    <x v="2"/>
    <x v="22"/>
    <x v="16"/>
    <n v="58"/>
    <n v="77"/>
    <n v="75"/>
  </r>
  <r>
    <x v="3"/>
    <x v="36"/>
    <x v="10"/>
    <n v="65"/>
    <n v="56"/>
    <n v="68"/>
  </r>
  <r>
    <x v="4"/>
    <x v="6"/>
    <x v="5"/>
    <n v="67"/>
    <n v="70"/>
    <n v="70"/>
  </r>
  <r>
    <x v="0"/>
    <x v="7"/>
    <x v="27"/>
    <n v="89"/>
    <n v="92"/>
    <n v="93"/>
  </r>
  <r>
    <x v="1"/>
    <x v="4"/>
    <x v="39"/>
    <n v="56"/>
    <n v="63"/>
    <n v="55"/>
  </r>
  <r>
    <x v="2"/>
    <x v="28"/>
    <x v="32"/>
    <n v="58"/>
    <n v="98"/>
    <n v="66"/>
  </r>
  <r>
    <x v="3"/>
    <x v="28"/>
    <x v="13"/>
    <n v="59"/>
    <n v="55"/>
    <n v="97"/>
  </r>
  <r>
    <x v="4"/>
    <x v="9"/>
    <x v="12"/>
    <n v="66"/>
    <n v="94"/>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ED0CF-0685-4750-BC2D-B7FE63457EDB}"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9" firstHeaderRow="1" firstDataRow="1" firstDataCol="1"/>
  <pivotFields count="6">
    <pivotField axis="axisRow" showAll="0">
      <items count="6">
        <item x="4"/>
        <item x="0"/>
        <item x="1"/>
        <item x="2"/>
        <item x="3"/>
        <item t="default"/>
      </items>
    </pivotField>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English"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68ED7-5D7D-4362-9095-7D846BAB9D7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9" firstHeaderRow="1" firstDataRow="1" firstDataCol="1"/>
  <pivotFields count="6">
    <pivotField axis="axisRow" showAll="0">
      <items count="6">
        <item x="4"/>
        <item x="0"/>
        <item x="1"/>
        <item x="2"/>
        <item x="3"/>
        <item t="default"/>
      </items>
    </pivotField>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um of Programmin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A3032-3B5C-408C-B389-2BE226D731B0}"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6">
    <pivotField axis="axisRow" showAll="0">
      <items count="6">
        <item x="4"/>
        <item x="0"/>
        <item x="1"/>
        <item x="2"/>
        <item x="3"/>
        <item t="default"/>
      </items>
    </pivotField>
    <pivotField showAll="0"/>
    <pivotField showAll="0"/>
    <pivotField showAll="0"/>
    <pivotField dataField="1" showAll="0"/>
    <pivotField showAll="0"/>
  </pivotFields>
  <rowFields count="1">
    <field x="0"/>
  </rowFields>
  <rowItems count="6">
    <i>
      <x/>
    </i>
    <i>
      <x v="1"/>
    </i>
    <i>
      <x v="2"/>
    </i>
    <i>
      <x v="3"/>
    </i>
    <i>
      <x v="4"/>
    </i>
    <i t="grand">
      <x/>
    </i>
  </rowItems>
  <colItems count="1">
    <i/>
  </colItems>
  <dataFields count="1">
    <dataField name="Sum of Engineering Drawin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2FD36-AC2D-40A7-B304-E6569247C405}"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9" firstHeaderRow="1" firstDataRow="1" firstDataCol="1"/>
  <pivotFields count="6">
    <pivotField axis="axisRow" showAll="0">
      <items count="6">
        <item x="4"/>
        <item x="0"/>
        <item x="1"/>
        <item x="2"/>
        <item x="3"/>
        <item t="default"/>
      </items>
    </pivotField>
    <pivotField showAll="0"/>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Physic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6F3FC-72EB-4141-867C-D8CB55C0989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6">
    <pivotField axis="axisRow" showAll="0">
      <items count="6">
        <item x="4"/>
        <item x="0"/>
        <item x="1"/>
        <item x="2"/>
        <item x="3"/>
        <item t="default"/>
      </items>
    </pivotField>
    <pivotField dataField="1" showAll="0">
      <items count="38">
        <item x="1"/>
        <item x="23"/>
        <item x="32"/>
        <item x="31"/>
        <item x="20"/>
        <item x="28"/>
        <item x="6"/>
        <item x="11"/>
        <item x="5"/>
        <item x="12"/>
        <item x="35"/>
        <item x="15"/>
        <item x="8"/>
        <item x="24"/>
        <item x="14"/>
        <item x="3"/>
        <item x="22"/>
        <item x="25"/>
        <item x="7"/>
        <item x="16"/>
        <item x="4"/>
        <item x="9"/>
        <item x="30"/>
        <item x="26"/>
        <item x="18"/>
        <item x="19"/>
        <item x="29"/>
        <item x="13"/>
        <item x="21"/>
        <item x="27"/>
        <item x="0"/>
        <item x="33"/>
        <item x="10"/>
        <item x="34"/>
        <item x="36"/>
        <item x="2"/>
        <item x="17"/>
        <item t="default"/>
      </items>
    </pivotField>
    <pivotField showAll="0">
      <items count="41">
        <item x="17"/>
        <item x="32"/>
        <item x="0"/>
        <item x="36"/>
        <item x="3"/>
        <item x="28"/>
        <item x="24"/>
        <item x="14"/>
        <item x="4"/>
        <item x="2"/>
        <item x="16"/>
        <item x="8"/>
        <item x="1"/>
        <item x="38"/>
        <item x="18"/>
        <item x="25"/>
        <item x="5"/>
        <item x="9"/>
        <item x="33"/>
        <item x="15"/>
        <item x="29"/>
        <item x="13"/>
        <item x="23"/>
        <item x="35"/>
        <item x="31"/>
        <item x="7"/>
        <item x="10"/>
        <item x="22"/>
        <item x="11"/>
        <item x="26"/>
        <item x="21"/>
        <item x="39"/>
        <item x="34"/>
        <item x="19"/>
        <item x="20"/>
        <item x="27"/>
        <item x="30"/>
        <item x="37"/>
        <item x="12"/>
        <item x="6"/>
        <item t="default"/>
      </items>
    </pivotField>
    <pivotField showAll="0"/>
    <pivotField showAll="0"/>
    <pivotField showAll="0"/>
  </pivotFields>
  <rowFields count="1">
    <field x="0"/>
  </rowFields>
  <rowItems count="6">
    <i>
      <x/>
    </i>
    <i>
      <x v="1"/>
    </i>
    <i>
      <x v="2"/>
    </i>
    <i>
      <x v="3"/>
    </i>
    <i>
      <x v="4"/>
    </i>
    <i t="grand">
      <x/>
    </i>
  </rowItems>
  <colItems count="1">
    <i/>
  </colItems>
  <dataFields count="1">
    <dataField name="Sum of Mathematics" fld="1" baseField="0" baseItem="0"/>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B97A43-EDD0-421E-BAF0-3A926CE12B0D}" sourceName="Department">
  <pivotTables>
    <pivotTable tabId="3" name="PivotTable3"/>
  </pivotTables>
  <data>
    <tabular pivotCacheId="745047074">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hematics" xr10:uid="{89319C86-2F2B-420D-B681-5EC8228B0AC2}" sourceName="Mathematics">
  <pivotTables>
    <pivotTable tabId="3" name="PivotTable3"/>
  </pivotTables>
  <data>
    <tabular pivotCacheId="745047074">
      <items count="37">
        <i x="1" s="1"/>
        <i x="23" s="1"/>
        <i x="32" s="1"/>
        <i x="31" s="1"/>
        <i x="20" s="1"/>
        <i x="28" s="1"/>
        <i x="6" s="1"/>
        <i x="11" s="1"/>
        <i x="5" s="1"/>
        <i x="12" s="1"/>
        <i x="35" s="1"/>
        <i x="15" s="1"/>
        <i x="8" s="1"/>
        <i x="24" s="1"/>
        <i x="14" s="1"/>
        <i x="3" s="1"/>
        <i x="22" s="1"/>
        <i x="25" s="1"/>
        <i x="7" s="1"/>
        <i x="16" s="1"/>
        <i x="4" s="1"/>
        <i x="9" s="1"/>
        <i x="30" s="1"/>
        <i x="26" s="1"/>
        <i x="18" s="1"/>
        <i x="19" s="1"/>
        <i x="29" s="1"/>
        <i x="13" s="1"/>
        <i x="21" s="1"/>
        <i x="27" s="1"/>
        <i x="0" s="1"/>
        <i x="33" s="1"/>
        <i x="10" s="1"/>
        <i x="34" s="1"/>
        <i x="36" s="1"/>
        <i x="2"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F92351-8BA7-4BED-A130-6C385836D435}" cache="Slicer_Department" caption="Department" rowHeight="234950"/>
  <slicer name="Mathematics" xr10:uid="{1CD0E8F3-295D-4E7A-ACA9-CDBDA1CB6EBB}" cache="Slicer_Mathematics" caption="Mathematic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31B7-D11C-4092-B697-07BB3EAEB99F}">
  <dimension ref="A3:H19"/>
  <sheetViews>
    <sheetView tabSelected="1" topLeftCell="B1" zoomScale="68" workbookViewId="0">
      <selection activeCell="B3" sqref="B3:E19"/>
    </sheetView>
  </sheetViews>
  <sheetFormatPr defaultRowHeight="14.4" x14ac:dyDescent="0.3"/>
  <cols>
    <col min="1" max="1" width="14.33203125" bestFit="1" customWidth="1"/>
    <col min="2" max="2" width="19.6640625" bestFit="1" customWidth="1"/>
    <col min="3" max="3" width="25" bestFit="1" customWidth="1"/>
    <col min="4" max="4" width="12.5546875" bestFit="1" customWidth="1"/>
    <col min="5" max="5" width="13.44140625" bestFit="1" customWidth="1"/>
    <col min="7" max="7" width="12.5546875" bestFit="1" customWidth="1"/>
    <col min="8" max="8" width="25" bestFit="1" customWidth="1"/>
  </cols>
  <sheetData>
    <row r="3" spans="1:8" x14ac:dyDescent="0.3">
      <c r="A3" s="6" t="s">
        <v>134</v>
      </c>
      <c r="B3" t="s">
        <v>136</v>
      </c>
      <c r="D3" s="6" t="s">
        <v>134</v>
      </c>
      <c r="E3" t="s">
        <v>137</v>
      </c>
      <c r="G3" s="6" t="s">
        <v>134</v>
      </c>
      <c r="H3" t="s">
        <v>139</v>
      </c>
    </row>
    <row r="4" spans="1:8" x14ac:dyDescent="0.3">
      <c r="A4" s="7" t="s">
        <v>20</v>
      </c>
      <c r="B4" s="8">
        <v>1520</v>
      </c>
      <c r="D4" s="7" t="s">
        <v>20</v>
      </c>
      <c r="E4" s="8">
        <v>1556</v>
      </c>
      <c r="G4" s="7" t="s">
        <v>20</v>
      </c>
      <c r="H4" s="8">
        <v>1581</v>
      </c>
    </row>
    <row r="5" spans="1:8" x14ac:dyDescent="0.3">
      <c r="A5" s="7" t="s">
        <v>12</v>
      </c>
      <c r="B5" s="8">
        <v>1649</v>
      </c>
      <c r="D5" s="7" t="s">
        <v>12</v>
      </c>
      <c r="E5" s="8">
        <v>1526</v>
      </c>
      <c r="G5" s="7" t="s">
        <v>12</v>
      </c>
      <c r="H5" s="8">
        <v>1516</v>
      </c>
    </row>
    <row r="6" spans="1:8" x14ac:dyDescent="0.3">
      <c r="A6" s="7" t="s">
        <v>14</v>
      </c>
      <c r="B6" s="8">
        <v>1496</v>
      </c>
      <c r="D6" s="7" t="s">
        <v>14</v>
      </c>
      <c r="E6" s="8">
        <v>1597</v>
      </c>
      <c r="G6" s="7" t="s">
        <v>14</v>
      </c>
      <c r="H6" s="8">
        <v>1524</v>
      </c>
    </row>
    <row r="7" spans="1:8" x14ac:dyDescent="0.3">
      <c r="A7" s="7" t="s">
        <v>16</v>
      </c>
      <c r="B7" s="8">
        <v>1538</v>
      </c>
      <c r="D7" s="7" t="s">
        <v>16</v>
      </c>
      <c r="E7" s="8">
        <v>1508</v>
      </c>
      <c r="G7" s="7" t="s">
        <v>16</v>
      </c>
      <c r="H7" s="8">
        <v>1568</v>
      </c>
    </row>
    <row r="8" spans="1:8" x14ac:dyDescent="0.3">
      <c r="A8" s="7" t="s">
        <v>18</v>
      </c>
      <c r="B8" s="8">
        <v>1499</v>
      </c>
      <c r="D8" s="7" t="s">
        <v>18</v>
      </c>
      <c r="E8" s="8">
        <v>1540</v>
      </c>
      <c r="G8" s="7" t="s">
        <v>18</v>
      </c>
      <c r="H8" s="8">
        <v>1466</v>
      </c>
    </row>
    <row r="9" spans="1:8" x14ac:dyDescent="0.3">
      <c r="A9" s="7" t="s">
        <v>135</v>
      </c>
      <c r="B9" s="8">
        <v>7702</v>
      </c>
      <c r="D9" s="7" t="s">
        <v>135</v>
      </c>
      <c r="E9" s="8">
        <v>7727</v>
      </c>
      <c r="G9" s="7" t="s">
        <v>135</v>
      </c>
      <c r="H9" s="8">
        <v>7655</v>
      </c>
    </row>
    <row r="13" spans="1:8" x14ac:dyDescent="0.3">
      <c r="A13" s="6" t="s">
        <v>134</v>
      </c>
      <c r="B13" t="s">
        <v>138</v>
      </c>
      <c r="D13" s="6" t="s">
        <v>134</v>
      </c>
      <c r="E13" t="s">
        <v>140</v>
      </c>
    </row>
    <row r="14" spans="1:8" x14ac:dyDescent="0.3">
      <c r="A14" s="7" t="s">
        <v>20</v>
      </c>
      <c r="B14" s="8">
        <v>1498</v>
      </c>
      <c r="D14" s="7" t="s">
        <v>20</v>
      </c>
      <c r="E14" s="8">
        <v>1556</v>
      </c>
    </row>
    <row r="15" spans="1:8" x14ac:dyDescent="0.3">
      <c r="A15" s="7" t="s">
        <v>12</v>
      </c>
      <c r="B15" s="8">
        <v>1644</v>
      </c>
      <c r="D15" s="7" t="s">
        <v>12</v>
      </c>
      <c r="E15" s="8">
        <v>1595</v>
      </c>
    </row>
    <row r="16" spans="1:8" x14ac:dyDescent="0.3">
      <c r="A16" s="7" t="s">
        <v>14</v>
      </c>
      <c r="B16" s="8">
        <v>1515</v>
      </c>
      <c r="D16" s="7" t="s">
        <v>14</v>
      </c>
      <c r="E16" s="8">
        <v>1521</v>
      </c>
    </row>
    <row r="17" spans="1:5" x14ac:dyDescent="0.3">
      <c r="A17" s="7" t="s">
        <v>16</v>
      </c>
      <c r="B17" s="8">
        <v>1515</v>
      </c>
      <c r="D17" s="7" t="s">
        <v>16</v>
      </c>
      <c r="E17" s="8">
        <v>1555</v>
      </c>
    </row>
    <row r="18" spans="1:5" x14ac:dyDescent="0.3">
      <c r="A18" s="7" t="s">
        <v>18</v>
      </c>
      <c r="B18" s="8">
        <v>1514</v>
      </c>
      <c r="D18" s="7" t="s">
        <v>18</v>
      </c>
      <c r="E18" s="8">
        <v>1556</v>
      </c>
    </row>
    <row r="19" spans="1:5" x14ac:dyDescent="0.3">
      <c r="A19" s="7" t="s">
        <v>135</v>
      </c>
      <c r="B19" s="8">
        <v>7686</v>
      </c>
      <c r="D19" s="7" t="s">
        <v>135</v>
      </c>
      <c r="E19" s="8">
        <v>7783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0353-41F9-4273-852F-7DF000B94F06}">
  <dimension ref="A1"/>
  <sheetViews>
    <sheetView workbookViewId="0">
      <selection activeCell="P12" sqref="P12"/>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pane ySplit="1" topLeftCell="A76" activePane="bottomLeft" state="frozen"/>
      <selection pane="bottomLeft" activeCell="M86" sqref="M86"/>
    </sheetView>
  </sheetViews>
  <sheetFormatPr defaultRowHeight="14.4" x14ac:dyDescent="0.3"/>
  <cols>
    <col min="1" max="1" width="8" customWidth="1"/>
    <col min="2" max="2" width="20" customWidth="1"/>
    <col min="3" max="4" width="14" customWidth="1"/>
    <col min="5" max="5" width="12" customWidth="1"/>
    <col min="6" max="6" width="16" customWidth="1"/>
    <col min="7" max="7" width="22" customWidth="1"/>
    <col min="8" max="11" width="12"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s="2">
        <v>91</v>
      </c>
      <c r="E2" s="2">
        <v>57</v>
      </c>
      <c r="F2" s="2">
        <v>82</v>
      </c>
      <c r="G2" s="2">
        <v>85</v>
      </c>
      <c r="H2" s="2">
        <v>91</v>
      </c>
      <c r="I2" s="2">
        <f t="shared" ref="I2:I33" si="0">SUM(D2:H2)</f>
        <v>406</v>
      </c>
      <c r="J2" s="3">
        <f t="shared" ref="J2:J33" si="1">AVERAGE(D2:H2)</f>
        <v>81.2</v>
      </c>
      <c r="K2" t="str">
        <f t="shared" ref="K2:K33" si="2">IF(J2&gt;=50,"PASS","FAIL")</f>
        <v>PASS</v>
      </c>
    </row>
    <row r="3" spans="1:11" x14ac:dyDescent="0.3">
      <c r="A3">
        <v>2</v>
      </c>
      <c r="B3" t="s">
        <v>13</v>
      </c>
      <c r="C3" t="s">
        <v>14</v>
      </c>
      <c r="D3" s="2">
        <v>55</v>
      </c>
      <c r="E3" s="2">
        <v>68</v>
      </c>
      <c r="F3" s="2">
        <v>84</v>
      </c>
      <c r="G3" s="2">
        <v>86</v>
      </c>
      <c r="H3" s="2">
        <v>72</v>
      </c>
      <c r="I3" s="2">
        <f t="shared" si="0"/>
        <v>365</v>
      </c>
      <c r="J3" s="3">
        <f t="shared" si="1"/>
        <v>73</v>
      </c>
      <c r="K3" t="str">
        <f t="shared" si="2"/>
        <v>PASS</v>
      </c>
    </row>
    <row r="4" spans="1:11" x14ac:dyDescent="0.3">
      <c r="A4">
        <v>3</v>
      </c>
      <c r="B4" t="s">
        <v>15</v>
      </c>
      <c r="C4" t="s">
        <v>16</v>
      </c>
      <c r="D4" s="2">
        <v>96</v>
      </c>
      <c r="E4" s="2">
        <v>65</v>
      </c>
      <c r="F4" s="2">
        <v>57</v>
      </c>
      <c r="G4" s="2">
        <v>88</v>
      </c>
      <c r="H4" s="2">
        <v>86</v>
      </c>
      <c r="I4" s="2">
        <f t="shared" si="0"/>
        <v>392</v>
      </c>
      <c r="J4" s="3">
        <f t="shared" si="1"/>
        <v>78.400000000000006</v>
      </c>
      <c r="K4" t="str">
        <f t="shared" si="2"/>
        <v>PASS</v>
      </c>
    </row>
    <row r="5" spans="1:11" x14ac:dyDescent="0.3">
      <c r="A5">
        <v>4</v>
      </c>
      <c r="B5" t="s">
        <v>17</v>
      </c>
      <c r="C5" t="s">
        <v>18</v>
      </c>
      <c r="D5" s="2">
        <v>75</v>
      </c>
      <c r="E5" s="2">
        <v>59</v>
      </c>
      <c r="F5" s="2">
        <v>70</v>
      </c>
      <c r="G5" s="2">
        <v>78</v>
      </c>
      <c r="H5" s="2">
        <v>57</v>
      </c>
      <c r="I5" s="2">
        <f t="shared" si="0"/>
        <v>339</v>
      </c>
      <c r="J5" s="3">
        <f t="shared" si="1"/>
        <v>67.8</v>
      </c>
      <c r="K5" t="str">
        <f t="shared" si="2"/>
        <v>PASS</v>
      </c>
    </row>
    <row r="6" spans="1:11" x14ac:dyDescent="0.3">
      <c r="A6">
        <v>5</v>
      </c>
      <c r="B6" t="s">
        <v>19</v>
      </c>
      <c r="C6" t="s">
        <v>20</v>
      </c>
      <c r="D6" s="2">
        <v>81</v>
      </c>
      <c r="E6" s="2">
        <v>63</v>
      </c>
      <c r="F6" s="2">
        <v>93</v>
      </c>
      <c r="G6" s="2">
        <v>77</v>
      </c>
      <c r="H6" s="2">
        <v>79</v>
      </c>
      <c r="I6" s="2">
        <f t="shared" si="0"/>
        <v>393</v>
      </c>
      <c r="J6" s="3">
        <f t="shared" si="1"/>
        <v>78.599999999999994</v>
      </c>
      <c r="K6" t="str">
        <f t="shared" si="2"/>
        <v>PASS</v>
      </c>
    </row>
    <row r="7" spans="1:11" x14ac:dyDescent="0.3">
      <c r="A7">
        <v>6</v>
      </c>
      <c r="B7" t="s">
        <v>21</v>
      </c>
      <c r="C7" t="s">
        <v>12</v>
      </c>
      <c r="D7" s="2">
        <v>81</v>
      </c>
      <c r="E7" s="2">
        <v>73</v>
      </c>
      <c r="F7" s="2">
        <v>98</v>
      </c>
      <c r="G7" s="2">
        <v>71</v>
      </c>
      <c r="H7" s="2">
        <v>84</v>
      </c>
      <c r="I7" s="2">
        <f t="shared" si="0"/>
        <v>407</v>
      </c>
      <c r="J7" s="3">
        <f t="shared" si="1"/>
        <v>81.400000000000006</v>
      </c>
      <c r="K7" t="str">
        <f t="shared" si="2"/>
        <v>PASS</v>
      </c>
    </row>
    <row r="8" spans="1:11" x14ac:dyDescent="0.3">
      <c r="A8">
        <v>7</v>
      </c>
      <c r="B8" t="s">
        <v>22</v>
      </c>
      <c r="C8" t="s">
        <v>14</v>
      </c>
      <c r="D8" s="2">
        <v>66</v>
      </c>
      <c r="E8" s="2">
        <v>98</v>
      </c>
      <c r="F8" s="2">
        <v>74</v>
      </c>
      <c r="G8" s="2">
        <v>97</v>
      </c>
      <c r="H8" s="2">
        <v>78</v>
      </c>
      <c r="I8" s="2">
        <f t="shared" si="0"/>
        <v>413</v>
      </c>
      <c r="J8" s="3">
        <f t="shared" si="1"/>
        <v>82.6</v>
      </c>
      <c r="K8" t="str">
        <f t="shared" si="2"/>
        <v>PASS</v>
      </c>
    </row>
    <row r="9" spans="1:11" x14ac:dyDescent="0.3">
      <c r="A9">
        <v>8</v>
      </c>
      <c r="B9" t="s">
        <v>23</v>
      </c>
      <c r="C9" t="s">
        <v>16</v>
      </c>
      <c r="D9" s="2">
        <v>63</v>
      </c>
      <c r="E9" s="2">
        <v>84</v>
      </c>
      <c r="F9" s="2">
        <v>70</v>
      </c>
      <c r="G9" s="2">
        <v>83</v>
      </c>
      <c r="H9" s="2">
        <v>94</v>
      </c>
      <c r="I9" s="2">
        <f t="shared" si="0"/>
        <v>394</v>
      </c>
      <c r="J9" s="3">
        <f t="shared" si="1"/>
        <v>78.8</v>
      </c>
      <c r="K9" t="str">
        <f t="shared" si="2"/>
        <v>PASS</v>
      </c>
    </row>
    <row r="10" spans="1:11" x14ac:dyDescent="0.3">
      <c r="A10">
        <v>9</v>
      </c>
      <c r="B10" t="s">
        <v>24</v>
      </c>
      <c r="C10" t="s">
        <v>18</v>
      </c>
      <c r="D10" s="2">
        <v>79</v>
      </c>
      <c r="E10" s="2">
        <v>57</v>
      </c>
      <c r="F10" s="2">
        <v>92</v>
      </c>
      <c r="G10" s="2">
        <v>55</v>
      </c>
      <c r="H10" s="2">
        <v>70</v>
      </c>
      <c r="I10" s="2">
        <f t="shared" si="0"/>
        <v>353</v>
      </c>
      <c r="J10" s="3">
        <f t="shared" si="1"/>
        <v>70.599999999999994</v>
      </c>
      <c r="K10" t="str">
        <f t="shared" si="2"/>
        <v>PASS</v>
      </c>
    </row>
    <row r="11" spans="1:11" x14ac:dyDescent="0.3">
      <c r="A11">
        <v>10</v>
      </c>
      <c r="B11" t="s">
        <v>25</v>
      </c>
      <c r="C11" t="s">
        <v>20</v>
      </c>
      <c r="D11" s="2">
        <v>63</v>
      </c>
      <c r="E11" s="2">
        <v>67</v>
      </c>
      <c r="F11" s="2">
        <v>74</v>
      </c>
      <c r="G11" s="2">
        <v>89</v>
      </c>
      <c r="H11" s="2">
        <v>78</v>
      </c>
      <c r="I11" s="2">
        <f t="shared" si="0"/>
        <v>371</v>
      </c>
      <c r="J11" s="3">
        <f t="shared" si="1"/>
        <v>74.2</v>
      </c>
      <c r="K11" t="str">
        <f t="shared" si="2"/>
        <v>PASS</v>
      </c>
    </row>
    <row r="12" spans="1:11" x14ac:dyDescent="0.3">
      <c r="A12">
        <v>11</v>
      </c>
      <c r="B12" t="s">
        <v>26</v>
      </c>
      <c r="C12" t="s">
        <v>12</v>
      </c>
      <c r="D12" s="2">
        <v>70</v>
      </c>
      <c r="E12" s="2">
        <v>75</v>
      </c>
      <c r="F12" s="2">
        <v>97</v>
      </c>
      <c r="G12" s="2">
        <v>90</v>
      </c>
      <c r="H12" s="2">
        <v>83</v>
      </c>
      <c r="I12" s="2">
        <f t="shared" si="0"/>
        <v>415</v>
      </c>
      <c r="J12" s="3">
        <f t="shared" si="1"/>
        <v>83</v>
      </c>
      <c r="K12" t="str">
        <f t="shared" si="2"/>
        <v>PASS</v>
      </c>
    </row>
    <row r="13" spans="1:11" x14ac:dyDescent="0.3">
      <c r="A13">
        <v>12</v>
      </c>
      <c r="B13" t="s">
        <v>27</v>
      </c>
      <c r="C13" t="s">
        <v>14</v>
      </c>
      <c r="D13" s="2">
        <v>82</v>
      </c>
      <c r="E13" s="2">
        <v>85</v>
      </c>
      <c r="F13" s="2">
        <v>59</v>
      </c>
      <c r="G13" s="2">
        <v>96</v>
      </c>
      <c r="H13" s="2">
        <v>92</v>
      </c>
      <c r="I13" s="2">
        <f t="shared" si="0"/>
        <v>414</v>
      </c>
      <c r="J13" s="3">
        <f t="shared" si="1"/>
        <v>82.8</v>
      </c>
      <c r="K13" t="str">
        <f t="shared" si="2"/>
        <v>PASS</v>
      </c>
    </row>
    <row r="14" spans="1:11" x14ac:dyDescent="0.3">
      <c r="A14">
        <v>13</v>
      </c>
      <c r="B14" t="s">
        <v>28</v>
      </c>
      <c r="C14" t="s">
        <v>16</v>
      </c>
      <c r="D14" s="2">
        <v>75</v>
      </c>
      <c r="E14" s="2">
        <v>87</v>
      </c>
      <c r="F14" s="2">
        <v>65</v>
      </c>
      <c r="G14" s="2">
        <v>69</v>
      </c>
      <c r="H14" s="2">
        <v>81</v>
      </c>
      <c r="I14" s="2">
        <f t="shared" si="0"/>
        <v>377</v>
      </c>
      <c r="J14" s="3">
        <f t="shared" si="1"/>
        <v>75.400000000000006</v>
      </c>
      <c r="K14" t="str">
        <f t="shared" si="2"/>
        <v>PASS</v>
      </c>
    </row>
    <row r="15" spans="1:11" x14ac:dyDescent="0.3">
      <c r="A15">
        <v>14</v>
      </c>
      <c r="B15" t="s">
        <v>29</v>
      </c>
      <c r="C15" t="s">
        <v>18</v>
      </c>
      <c r="D15" s="2">
        <v>70</v>
      </c>
      <c r="E15" s="2">
        <v>57</v>
      </c>
      <c r="F15" s="2">
        <v>57</v>
      </c>
      <c r="G15" s="2">
        <v>86</v>
      </c>
      <c r="H15" s="2">
        <v>74</v>
      </c>
      <c r="I15" s="2">
        <f t="shared" si="0"/>
        <v>344</v>
      </c>
      <c r="J15" s="3">
        <f t="shared" si="1"/>
        <v>68.8</v>
      </c>
      <c r="K15" t="str">
        <f t="shared" si="2"/>
        <v>PASS</v>
      </c>
    </row>
    <row r="16" spans="1:11" x14ac:dyDescent="0.3">
      <c r="A16">
        <v>15</v>
      </c>
      <c r="B16" t="s">
        <v>30</v>
      </c>
      <c r="C16" t="s">
        <v>20</v>
      </c>
      <c r="D16" s="2">
        <v>93</v>
      </c>
      <c r="E16" s="2">
        <v>97</v>
      </c>
      <c r="F16" s="2">
        <v>59</v>
      </c>
      <c r="G16" s="2">
        <v>89</v>
      </c>
      <c r="H16" s="2">
        <v>60</v>
      </c>
      <c r="I16" s="2">
        <f t="shared" si="0"/>
        <v>398</v>
      </c>
      <c r="J16" s="3">
        <f t="shared" si="1"/>
        <v>79.599999999999994</v>
      </c>
      <c r="K16" t="str">
        <f t="shared" si="2"/>
        <v>PASS</v>
      </c>
    </row>
    <row r="17" spans="1:11" x14ac:dyDescent="0.3">
      <c r="A17">
        <v>16</v>
      </c>
      <c r="B17" t="s">
        <v>31</v>
      </c>
      <c r="C17" t="s">
        <v>12</v>
      </c>
      <c r="D17" s="2">
        <v>64</v>
      </c>
      <c r="E17" s="2">
        <v>79</v>
      </c>
      <c r="F17" s="2">
        <v>91</v>
      </c>
      <c r="G17" s="2">
        <v>78</v>
      </c>
      <c r="H17" s="2">
        <v>93</v>
      </c>
      <c r="I17" s="2">
        <f t="shared" si="0"/>
        <v>405</v>
      </c>
      <c r="J17" s="3">
        <f t="shared" si="1"/>
        <v>81</v>
      </c>
      <c r="K17" t="str">
        <f t="shared" si="2"/>
        <v>PASS</v>
      </c>
    </row>
    <row r="18" spans="1:11" x14ac:dyDescent="0.3">
      <c r="A18">
        <v>17</v>
      </c>
      <c r="B18" t="s">
        <v>32</v>
      </c>
      <c r="C18" t="s">
        <v>14</v>
      </c>
      <c r="D18" s="2">
        <v>64</v>
      </c>
      <c r="E18" s="2">
        <v>62</v>
      </c>
      <c r="F18" s="2">
        <v>61</v>
      </c>
      <c r="G18" s="2">
        <v>83</v>
      </c>
      <c r="H18" s="2">
        <v>65</v>
      </c>
      <c r="I18" s="2">
        <f t="shared" si="0"/>
        <v>335</v>
      </c>
      <c r="J18" s="3">
        <f t="shared" si="1"/>
        <v>67</v>
      </c>
      <c r="K18" t="str">
        <f t="shared" si="2"/>
        <v>PASS</v>
      </c>
    </row>
    <row r="19" spans="1:11" x14ac:dyDescent="0.3">
      <c r="A19">
        <v>18</v>
      </c>
      <c r="B19" t="s">
        <v>33</v>
      </c>
      <c r="C19" t="s">
        <v>16</v>
      </c>
      <c r="D19" s="2">
        <v>67</v>
      </c>
      <c r="E19" s="2">
        <v>77</v>
      </c>
      <c r="F19" s="2">
        <v>82</v>
      </c>
      <c r="G19" s="2">
        <v>81</v>
      </c>
      <c r="H19" s="2">
        <v>83</v>
      </c>
      <c r="I19" s="2">
        <f t="shared" si="0"/>
        <v>390</v>
      </c>
      <c r="J19" s="3">
        <f t="shared" si="1"/>
        <v>78</v>
      </c>
      <c r="K19" t="str">
        <f t="shared" si="2"/>
        <v>PASS</v>
      </c>
    </row>
    <row r="20" spans="1:11" x14ac:dyDescent="0.3">
      <c r="A20">
        <v>19</v>
      </c>
      <c r="B20" t="s">
        <v>34</v>
      </c>
      <c r="C20" t="s">
        <v>18</v>
      </c>
      <c r="D20" s="2">
        <v>70</v>
      </c>
      <c r="E20" s="2">
        <v>98</v>
      </c>
      <c r="F20" s="2">
        <v>72</v>
      </c>
      <c r="G20" s="2">
        <v>64</v>
      </c>
      <c r="H20" s="2">
        <v>94</v>
      </c>
      <c r="I20" s="2">
        <f t="shared" si="0"/>
        <v>398</v>
      </c>
      <c r="J20" s="3">
        <f t="shared" si="1"/>
        <v>79.599999999999994</v>
      </c>
      <c r="K20" t="str">
        <f t="shared" si="2"/>
        <v>PASS</v>
      </c>
    </row>
    <row r="21" spans="1:11" x14ac:dyDescent="0.3">
      <c r="A21">
        <v>20</v>
      </c>
      <c r="B21" t="s">
        <v>35</v>
      </c>
      <c r="C21" t="s">
        <v>20</v>
      </c>
      <c r="D21" s="2">
        <v>88</v>
      </c>
      <c r="E21" s="2">
        <v>66</v>
      </c>
      <c r="F21" s="2">
        <v>62</v>
      </c>
      <c r="G21" s="2">
        <v>72</v>
      </c>
      <c r="H21" s="2">
        <v>84</v>
      </c>
      <c r="I21" s="2">
        <f t="shared" si="0"/>
        <v>372</v>
      </c>
      <c r="J21" s="3">
        <f t="shared" si="1"/>
        <v>74.400000000000006</v>
      </c>
      <c r="K21" t="str">
        <f t="shared" si="2"/>
        <v>PASS</v>
      </c>
    </row>
    <row r="22" spans="1:11" x14ac:dyDescent="0.3">
      <c r="A22">
        <v>21</v>
      </c>
      <c r="B22" t="s">
        <v>36</v>
      </c>
      <c r="C22" t="s">
        <v>12</v>
      </c>
      <c r="D22" s="2">
        <v>74</v>
      </c>
      <c r="E22" s="2">
        <v>65</v>
      </c>
      <c r="F22" s="2">
        <v>97</v>
      </c>
      <c r="G22" s="2">
        <v>96</v>
      </c>
      <c r="H22" s="2">
        <v>66</v>
      </c>
      <c r="I22" s="2">
        <f t="shared" si="0"/>
        <v>398</v>
      </c>
      <c r="J22" s="3">
        <f t="shared" si="1"/>
        <v>79.599999999999994</v>
      </c>
      <c r="K22" t="str">
        <f t="shared" si="2"/>
        <v>PASS</v>
      </c>
    </row>
    <row r="23" spans="1:11" x14ac:dyDescent="0.3">
      <c r="A23">
        <v>22</v>
      </c>
      <c r="B23" t="s">
        <v>37</v>
      </c>
      <c r="C23" t="s">
        <v>14</v>
      </c>
      <c r="D23" s="2">
        <v>66</v>
      </c>
      <c r="E23" s="2">
        <v>85</v>
      </c>
      <c r="F23" s="2">
        <v>77</v>
      </c>
      <c r="G23" s="2">
        <v>75</v>
      </c>
      <c r="H23" s="2">
        <v>82</v>
      </c>
      <c r="I23" s="2">
        <f t="shared" si="0"/>
        <v>385</v>
      </c>
      <c r="J23" s="3">
        <f t="shared" si="1"/>
        <v>77</v>
      </c>
      <c r="K23" t="str">
        <f t="shared" si="2"/>
        <v>PASS</v>
      </c>
    </row>
    <row r="24" spans="1:11" x14ac:dyDescent="0.3">
      <c r="A24">
        <v>23</v>
      </c>
      <c r="B24" t="s">
        <v>38</v>
      </c>
      <c r="C24" t="s">
        <v>16</v>
      </c>
      <c r="D24" s="2">
        <v>69</v>
      </c>
      <c r="E24" s="2">
        <v>55</v>
      </c>
      <c r="F24" s="2">
        <v>89</v>
      </c>
      <c r="G24" s="2">
        <v>57</v>
      </c>
      <c r="H24" s="2">
        <v>76</v>
      </c>
      <c r="I24" s="2">
        <f t="shared" si="0"/>
        <v>346</v>
      </c>
      <c r="J24" s="3">
        <f t="shared" si="1"/>
        <v>69.2</v>
      </c>
      <c r="K24" t="str">
        <f t="shared" si="2"/>
        <v>PASS</v>
      </c>
    </row>
    <row r="25" spans="1:11" x14ac:dyDescent="0.3">
      <c r="A25">
        <v>24</v>
      </c>
      <c r="B25" t="s">
        <v>39</v>
      </c>
      <c r="C25" t="s">
        <v>18</v>
      </c>
      <c r="D25" s="2">
        <v>75</v>
      </c>
      <c r="E25" s="2">
        <v>70</v>
      </c>
      <c r="F25" s="2">
        <v>60</v>
      </c>
      <c r="G25" s="2">
        <v>71</v>
      </c>
      <c r="H25" s="2">
        <v>83</v>
      </c>
      <c r="I25" s="2">
        <f t="shared" si="0"/>
        <v>359</v>
      </c>
      <c r="J25" s="3">
        <f t="shared" si="1"/>
        <v>71.8</v>
      </c>
      <c r="K25" t="str">
        <f t="shared" si="2"/>
        <v>PASS</v>
      </c>
    </row>
    <row r="26" spans="1:11" x14ac:dyDescent="0.3">
      <c r="A26">
        <v>25</v>
      </c>
      <c r="B26" t="s">
        <v>40</v>
      </c>
      <c r="C26" t="s">
        <v>20</v>
      </c>
      <c r="D26" s="2">
        <v>80</v>
      </c>
      <c r="E26" s="2">
        <v>92</v>
      </c>
      <c r="F26" s="2">
        <v>65</v>
      </c>
      <c r="G26" s="2">
        <v>79</v>
      </c>
      <c r="H26" s="2">
        <v>86</v>
      </c>
      <c r="I26" s="2">
        <f t="shared" si="0"/>
        <v>402</v>
      </c>
      <c r="J26" s="3">
        <f t="shared" si="1"/>
        <v>80.400000000000006</v>
      </c>
      <c r="K26" t="str">
        <f t="shared" si="2"/>
        <v>PASS</v>
      </c>
    </row>
    <row r="27" spans="1:11" x14ac:dyDescent="0.3">
      <c r="A27">
        <v>26</v>
      </c>
      <c r="B27" t="s">
        <v>41</v>
      </c>
      <c r="C27" t="s">
        <v>12</v>
      </c>
      <c r="D27" s="2">
        <v>98</v>
      </c>
      <c r="E27" s="2">
        <v>70</v>
      </c>
      <c r="F27" s="2">
        <v>88</v>
      </c>
      <c r="G27" s="2">
        <v>72</v>
      </c>
      <c r="H27" s="2">
        <v>88</v>
      </c>
      <c r="I27" s="2">
        <f t="shared" si="0"/>
        <v>416</v>
      </c>
      <c r="J27" s="3">
        <f t="shared" si="1"/>
        <v>83.2</v>
      </c>
      <c r="K27" t="str">
        <f t="shared" si="2"/>
        <v>PASS</v>
      </c>
    </row>
    <row r="28" spans="1:11" x14ac:dyDescent="0.3">
      <c r="A28">
        <v>27</v>
      </c>
      <c r="B28" t="s">
        <v>42</v>
      </c>
      <c r="C28" t="s">
        <v>14</v>
      </c>
      <c r="D28" s="2">
        <v>85</v>
      </c>
      <c r="E28" s="2">
        <v>93</v>
      </c>
      <c r="F28" s="2">
        <v>86</v>
      </c>
      <c r="G28" s="2">
        <v>59</v>
      </c>
      <c r="H28" s="2">
        <v>65</v>
      </c>
      <c r="I28" s="2">
        <f t="shared" si="0"/>
        <v>388</v>
      </c>
      <c r="J28" s="3">
        <f t="shared" si="1"/>
        <v>77.599999999999994</v>
      </c>
      <c r="K28" t="str">
        <f t="shared" si="2"/>
        <v>PASS</v>
      </c>
    </row>
    <row r="29" spans="1:11" x14ac:dyDescent="0.3">
      <c r="A29">
        <v>28</v>
      </c>
      <c r="B29" t="s">
        <v>43</v>
      </c>
      <c r="C29" t="s">
        <v>16</v>
      </c>
      <c r="D29" s="2">
        <v>86</v>
      </c>
      <c r="E29" s="2">
        <v>98</v>
      </c>
      <c r="F29" s="2">
        <v>84</v>
      </c>
      <c r="G29" s="2">
        <v>80</v>
      </c>
      <c r="H29" s="2">
        <v>63</v>
      </c>
      <c r="I29" s="2">
        <f t="shared" si="0"/>
        <v>411</v>
      </c>
      <c r="J29" s="3">
        <f t="shared" si="1"/>
        <v>82.2</v>
      </c>
      <c r="K29" t="str">
        <f t="shared" si="2"/>
        <v>PASS</v>
      </c>
    </row>
    <row r="30" spans="1:11" x14ac:dyDescent="0.3">
      <c r="A30">
        <v>29</v>
      </c>
      <c r="B30" t="s">
        <v>44</v>
      </c>
      <c r="C30" t="s">
        <v>18</v>
      </c>
      <c r="D30" s="2">
        <v>81</v>
      </c>
      <c r="E30" s="2">
        <v>89</v>
      </c>
      <c r="F30" s="2">
        <v>92</v>
      </c>
      <c r="G30" s="2">
        <v>77</v>
      </c>
      <c r="H30" s="2">
        <v>89</v>
      </c>
      <c r="I30" s="2">
        <f t="shared" si="0"/>
        <v>428</v>
      </c>
      <c r="J30" s="3">
        <f t="shared" si="1"/>
        <v>85.6</v>
      </c>
      <c r="K30" t="str">
        <f t="shared" si="2"/>
        <v>PASS</v>
      </c>
    </row>
    <row r="31" spans="1:11" x14ac:dyDescent="0.3">
      <c r="A31">
        <v>30</v>
      </c>
      <c r="B31" t="s">
        <v>45</v>
      </c>
      <c r="C31" t="s">
        <v>20</v>
      </c>
      <c r="D31" s="2">
        <v>79</v>
      </c>
      <c r="E31" s="2">
        <v>86</v>
      </c>
      <c r="F31" s="2">
        <v>65</v>
      </c>
      <c r="G31" s="2">
        <v>90</v>
      </c>
      <c r="H31" s="2">
        <v>83</v>
      </c>
      <c r="I31" s="2">
        <f>SUM(D31:H31)</f>
        <v>403</v>
      </c>
      <c r="J31" s="3">
        <f t="shared" si="1"/>
        <v>80.599999999999994</v>
      </c>
      <c r="K31" t="str">
        <f t="shared" si="2"/>
        <v>PASS</v>
      </c>
    </row>
    <row r="32" spans="1:11" x14ac:dyDescent="0.3">
      <c r="A32">
        <v>31</v>
      </c>
      <c r="B32" t="s">
        <v>46</v>
      </c>
      <c r="C32" t="s">
        <v>12</v>
      </c>
      <c r="D32" s="2">
        <v>61</v>
      </c>
      <c r="E32" s="2">
        <v>81</v>
      </c>
      <c r="F32" s="2">
        <v>57</v>
      </c>
      <c r="G32" s="2">
        <v>55</v>
      </c>
      <c r="H32" s="2">
        <v>83</v>
      </c>
      <c r="I32" s="2">
        <f t="shared" si="0"/>
        <v>337</v>
      </c>
      <c r="J32" s="3">
        <f t="shared" si="1"/>
        <v>67.400000000000006</v>
      </c>
      <c r="K32" t="str">
        <f t="shared" si="2"/>
        <v>PASS</v>
      </c>
    </row>
    <row r="33" spans="1:11" x14ac:dyDescent="0.3">
      <c r="A33">
        <v>32</v>
      </c>
      <c r="B33" t="s">
        <v>47</v>
      </c>
      <c r="C33" t="s">
        <v>14</v>
      </c>
      <c r="D33" s="2">
        <v>89</v>
      </c>
      <c r="E33" s="2">
        <v>59</v>
      </c>
      <c r="F33" s="2">
        <v>58</v>
      </c>
      <c r="G33" s="2">
        <v>77</v>
      </c>
      <c r="H33" s="2">
        <v>60</v>
      </c>
      <c r="I33" s="2">
        <f t="shared" si="0"/>
        <v>343</v>
      </c>
      <c r="J33" s="3">
        <f t="shared" si="1"/>
        <v>68.599999999999994</v>
      </c>
      <c r="K33" t="str">
        <f t="shared" si="2"/>
        <v>PASS</v>
      </c>
    </row>
    <row r="34" spans="1:11" x14ac:dyDescent="0.3">
      <c r="A34">
        <v>33</v>
      </c>
      <c r="B34" t="s">
        <v>48</v>
      </c>
      <c r="C34" t="s">
        <v>16</v>
      </c>
      <c r="D34" s="2">
        <v>64</v>
      </c>
      <c r="E34" s="2">
        <v>61</v>
      </c>
      <c r="F34" s="2">
        <v>93</v>
      </c>
      <c r="G34" s="2">
        <v>84</v>
      </c>
      <c r="H34" s="2">
        <v>86</v>
      </c>
      <c r="I34" s="2">
        <f t="shared" ref="I34:I65" si="3">SUM(D34:H34)</f>
        <v>388</v>
      </c>
      <c r="J34" s="3">
        <f t="shared" ref="J34:J65" si="4">AVERAGE(D34:H34)</f>
        <v>77.599999999999994</v>
      </c>
      <c r="K34" t="str">
        <f t="shared" ref="K34:K65" si="5">IF(J34&gt;=50,"PASS","FAIL")</f>
        <v>PASS</v>
      </c>
    </row>
    <row r="35" spans="1:11" x14ac:dyDescent="0.3">
      <c r="A35">
        <v>34</v>
      </c>
      <c r="B35" t="s">
        <v>49</v>
      </c>
      <c r="C35" t="s">
        <v>18</v>
      </c>
      <c r="D35" s="2">
        <v>63</v>
      </c>
      <c r="E35" s="2">
        <v>84</v>
      </c>
      <c r="F35" s="2">
        <v>82</v>
      </c>
      <c r="G35" s="2">
        <v>87</v>
      </c>
      <c r="H35" s="2">
        <v>83</v>
      </c>
      <c r="I35" s="2">
        <f t="shared" si="3"/>
        <v>399</v>
      </c>
      <c r="J35" s="3">
        <f t="shared" si="4"/>
        <v>79.8</v>
      </c>
      <c r="K35" t="str">
        <f t="shared" si="5"/>
        <v>PASS</v>
      </c>
    </row>
    <row r="36" spans="1:11" x14ac:dyDescent="0.3">
      <c r="A36">
        <v>35</v>
      </c>
      <c r="B36" t="s">
        <v>50</v>
      </c>
      <c r="C36" t="s">
        <v>20</v>
      </c>
      <c r="D36" s="2">
        <v>76</v>
      </c>
      <c r="E36" s="2">
        <v>71</v>
      </c>
      <c r="F36" s="2">
        <v>84</v>
      </c>
      <c r="G36" s="2">
        <v>82</v>
      </c>
      <c r="H36" s="2">
        <v>76</v>
      </c>
      <c r="I36" s="2">
        <f t="shared" si="3"/>
        <v>389</v>
      </c>
      <c r="J36" s="3">
        <f t="shared" si="4"/>
        <v>77.8</v>
      </c>
      <c r="K36" t="str">
        <f t="shared" si="5"/>
        <v>PASS</v>
      </c>
    </row>
    <row r="37" spans="1:11" x14ac:dyDescent="0.3">
      <c r="A37">
        <v>36</v>
      </c>
      <c r="B37" t="s">
        <v>51</v>
      </c>
      <c r="C37" t="s">
        <v>12</v>
      </c>
      <c r="D37" s="2">
        <v>96</v>
      </c>
      <c r="E37" s="2">
        <v>88</v>
      </c>
      <c r="F37" s="2">
        <v>88</v>
      </c>
      <c r="G37" s="2">
        <v>64</v>
      </c>
      <c r="H37" s="2">
        <v>70</v>
      </c>
      <c r="I37" s="2">
        <f t="shared" si="3"/>
        <v>406</v>
      </c>
      <c r="J37" s="3">
        <f t="shared" si="4"/>
        <v>81.2</v>
      </c>
      <c r="K37" t="str">
        <f t="shared" si="5"/>
        <v>PASS</v>
      </c>
    </row>
    <row r="38" spans="1:11" x14ac:dyDescent="0.3">
      <c r="A38">
        <v>37</v>
      </c>
      <c r="B38" t="s">
        <v>52</v>
      </c>
      <c r="C38" t="s">
        <v>14</v>
      </c>
      <c r="D38" s="2">
        <v>75</v>
      </c>
      <c r="E38" s="2">
        <v>94</v>
      </c>
      <c r="F38" s="2">
        <v>57</v>
      </c>
      <c r="G38" s="2">
        <v>98</v>
      </c>
      <c r="H38" s="2">
        <v>67</v>
      </c>
      <c r="I38" s="2">
        <f t="shared" si="3"/>
        <v>391</v>
      </c>
      <c r="J38" s="3">
        <f t="shared" si="4"/>
        <v>78.2</v>
      </c>
      <c r="K38" t="str">
        <f t="shared" si="5"/>
        <v>PASS</v>
      </c>
    </row>
    <row r="39" spans="1:11" x14ac:dyDescent="0.3">
      <c r="A39">
        <v>38</v>
      </c>
      <c r="B39" t="s">
        <v>53</v>
      </c>
      <c r="C39" t="s">
        <v>16</v>
      </c>
      <c r="D39" s="2">
        <v>96</v>
      </c>
      <c r="E39" s="2">
        <v>92</v>
      </c>
      <c r="F39" s="2">
        <v>91</v>
      </c>
      <c r="G39" s="2">
        <v>95</v>
      </c>
      <c r="H39" s="2">
        <v>85</v>
      </c>
      <c r="I39" s="2">
        <f t="shared" si="3"/>
        <v>459</v>
      </c>
      <c r="J39" s="3">
        <f t="shared" si="4"/>
        <v>91.8</v>
      </c>
      <c r="K39" t="str">
        <f t="shared" si="5"/>
        <v>PASS</v>
      </c>
    </row>
    <row r="40" spans="1:11" x14ac:dyDescent="0.3">
      <c r="A40">
        <v>39</v>
      </c>
      <c r="B40" t="s">
        <v>54</v>
      </c>
      <c r="C40" t="s">
        <v>18</v>
      </c>
      <c r="D40" s="2">
        <v>56</v>
      </c>
      <c r="E40" s="2">
        <v>62</v>
      </c>
      <c r="F40" s="2">
        <v>73</v>
      </c>
      <c r="G40" s="2">
        <v>82</v>
      </c>
      <c r="H40" s="2">
        <v>70</v>
      </c>
      <c r="I40" s="2">
        <f t="shared" si="3"/>
        <v>343</v>
      </c>
      <c r="J40" s="3">
        <f t="shared" si="4"/>
        <v>68.599999999999994</v>
      </c>
      <c r="K40" t="str">
        <f t="shared" si="5"/>
        <v>PASS</v>
      </c>
    </row>
    <row r="41" spans="1:11" x14ac:dyDescent="0.3">
      <c r="A41">
        <v>40</v>
      </c>
      <c r="B41" t="s">
        <v>55</v>
      </c>
      <c r="C41" t="s">
        <v>20</v>
      </c>
      <c r="D41" s="2">
        <v>73</v>
      </c>
      <c r="E41" s="2">
        <v>60</v>
      </c>
      <c r="F41" s="2">
        <v>57</v>
      </c>
      <c r="G41" s="2">
        <v>93</v>
      </c>
      <c r="H41" s="2">
        <v>90</v>
      </c>
      <c r="I41" s="2">
        <f t="shared" si="3"/>
        <v>373</v>
      </c>
      <c r="J41" s="3">
        <f t="shared" si="4"/>
        <v>74.599999999999994</v>
      </c>
      <c r="K41" t="str">
        <f t="shared" si="5"/>
        <v>PASS</v>
      </c>
    </row>
    <row r="42" spans="1:11" x14ac:dyDescent="0.3">
      <c r="A42">
        <v>41</v>
      </c>
      <c r="B42" t="s">
        <v>56</v>
      </c>
      <c r="C42" t="s">
        <v>12</v>
      </c>
      <c r="D42" s="2">
        <v>61</v>
      </c>
      <c r="E42" s="2">
        <v>73</v>
      </c>
      <c r="F42" s="2">
        <v>65</v>
      </c>
      <c r="G42" s="2">
        <v>97</v>
      </c>
      <c r="H42" s="2">
        <v>85</v>
      </c>
      <c r="I42" s="2">
        <f t="shared" si="3"/>
        <v>381</v>
      </c>
      <c r="J42" s="3">
        <f t="shared" si="4"/>
        <v>76.2</v>
      </c>
      <c r="K42" t="str">
        <f t="shared" si="5"/>
        <v>PASS</v>
      </c>
    </row>
    <row r="43" spans="1:11" x14ac:dyDescent="0.3">
      <c r="A43">
        <v>42</v>
      </c>
      <c r="B43" t="s">
        <v>57</v>
      </c>
      <c r="C43" t="s">
        <v>14</v>
      </c>
      <c r="D43" s="2">
        <v>64</v>
      </c>
      <c r="E43" s="2">
        <v>78</v>
      </c>
      <c r="F43" s="2">
        <v>93</v>
      </c>
      <c r="G43" s="2">
        <v>80</v>
      </c>
      <c r="H43" s="2">
        <v>67</v>
      </c>
      <c r="I43" s="2">
        <f t="shared" si="3"/>
        <v>382</v>
      </c>
      <c r="J43" s="3">
        <f t="shared" si="4"/>
        <v>76.400000000000006</v>
      </c>
      <c r="K43" t="str">
        <f t="shared" si="5"/>
        <v>PASS</v>
      </c>
    </row>
    <row r="44" spans="1:11" x14ac:dyDescent="0.3">
      <c r="A44">
        <v>43</v>
      </c>
      <c r="B44" t="s">
        <v>58</v>
      </c>
      <c r="C44" t="s">
        <v>16</v>
      </c>
      <c r="D44" s="2">
        <v>77</v>
      </c>
      <c r="E44" s="2">
        <v>66</v>
      </c>
      <c r="F44" s="2">
        <v>60</v>
      </c>
      <c r="G44" s="2">
        <v>92</v>
      </c>
      <c r="H44" s="2">
        <v>67</v>
      </c>
      <c r="I44" s="2">
        <f t="shared" si="3"/>
        <v>362</v>
      </c>
      <c r="J44" s="3">
        <f t="shared" si="4"/>
        <v>72.400000000000006</v>
      </c>
      <c r="K44" t="str">
        <f t="shared" si="5"/>
        <v>PASS</v>
      </c>
    </row>
    <row r="45" spans="1:11" x14ac:dyDescent="0.3">
      <c r="A45">
        <v>44</v>
      </c>
      <c r="B45" t="s">
        <v>59</v>
      </c>
      <c r="C45" t="s">
        <v>18</v>
      </c>
      <c r="D45" s="2">
        <v>82</v>
      </c>
      <c r="E45" s="2">
        <v>68</v>
      </c>
      <c r="F45" s="2">
        <v>61</v>
      </c>
      <c r="G45" s="2">
        <v>98</v>
      </c>
      <c r="H45" s="2">
        <v>74</v>
      </c>
      <c r="I45" s="2">
        <f t="shared" si="3"/>
        <v>383</v>
      </c>
      <c r="J45" s="3">
        <f t="shared" si="4"/>
        <v>76.599999999999994</v>
      </c>
      <c r="K45" t="str">
        <f t="shared" si="5"/>
        <v>PASS</v>
      </c>
    </row>
    <row r="46" spans="1:11" x14ac:dyDescent="0.3">
      <c r="A46">
        <v>45</v>
      </c>
      <c r="B46" t="s">
        <v>60</v>
      </c>
      <c r="C46" t="s">
        <v>20</v>
      </c>
      <c r="D46" s="2">
        <v>84</v>
      </c>
      <c r="E46" s="2">
        <v>88</v>
      </c>
      <c r="F46" s="2">
        <v>82</v>
      </c>
      <c r="G46" s="2">
        <v>83</v>
      </c>
      <c r="H46" s="2">
        <v>97</v>
      </c>
      <c r="I46" s="2">
        <f t="shared" si="3"/>
        <v>434</v>
      </c>
      <c r="J46" s="3">
        <f t="shared" si="4"/>
        <v>86.8</v>
      </c>
      <c r="K46" t="str">
        <f t="shared" si="5"/>
        <v>PASS</v>
      </c>
    </row>
    <row r="47" spans="1:11" x14ac:dyDescent="0.3">
      <c r="A47">
        <v>46</v>
      </c>
      <c r="B47" t="s">
        <v>61</v>
      </c>
      <c r="C47" t="s">
        <v>12</v>
      </c>
      <c r="D47" s="2">
        <v>90</v>
      </c>
      <c r="E47" s="2">
        <v>68</v>
      </c>
      <c r="F47" s="2">
        <v>72</v>
      </c>
      <c r="G47" s="2">
        <v>93</v>
      </c>
      <c r="H47" s="2">
        <v>78</v>
      </c>
      <c r="I47" s="2">
        <f t="shared" si="3"/>
        <v>401</v>
      </c>
      <c r="J47" s="3">
        <f t="shared" si="4"/>
        <v>80.2</v>
      </c>
      <c r="K47" t="str">
        <f t="shared" si="5"/>
        <v>PASS</v>
      </c>
    </row>
    <row r="48" spans="1:11" x14ac:dyDescent="0.3">
      <c r="A48">
        <v>47</v>
      </c>
      <c r="B48" t="s">
        <v>62</v>
      </c>
      <c r="C48" t="s">
        <v>14</v>
      </c>
      <c r="D48" s="2">
        <v>62</v>
      </c>
      <c r="E48" s="2">
        <v>95</v>
      </c>
      <c r="F48" s="2">
        <v>95</v>
      </c>
      <c r="G48" s="2">
        <v>55</v>
      </c>
      <c r="H48" s="2">
        <v>68</v>
      </c>
      <c r="I48" s="2">
        <f t="shared" si="3"/>
        <v>375</v>
      </c>
      <c r="J48" s="3">
        <f t="shared" si="4"/>
        <v>75</v>
      </c>
      <c r="K48" t="str">
        <f t="shared" si="5"/>
        <v>PASS</v>
      </c>
    </row>
    <row r="49" spans="1:11" x14ac:dyDescent="0.3">
      <c r="A49">
        <v>48</v>
      </c>
      <c r="B49" t="s">
        <v>63</v>
      </c>
      <c r="C49" t="s">
        <v>16</v>
      </c>
      <c r="D49" s="2">
        <v>82</v>
      </c>
      <c r="E49" s="2">
        <v>94</v>
      </c>
      <c r="F49" s="2">
        <v>81</v>
      </c>
      <c r="G49" s="2">
        <v>79</v>
      </c>
      <c r="H49" s="2">
        <v>96</v>
      </c>
      <c r="I49" s="2">
        <f t="shared" si="3"/>
        <v>432</v>
      </c>
      <c r="J49" s="3">
        <f t="shared" si="4"/>
        <v>86.4</v>
      </c>
      <c r="K49" t="str">
        <f t="shared" si="5"/>
        <v>PASS</v>
      </c>
    </row>
    <row r="50" spans="1:11" x14ac:dyDescent="0.3">
      <c r="A50">
        <v>49</v>
      </c>
      <c r="B50" t="s">
        <v>64</v>
      </c>
      <c r="C50" t="s">
        <v>18</v>
      </c>
      <c r="D50" s="2">
        <v>67</v>
      </c>
      <c r="E50" s="2">
        <v>59</v>
      </c>
      <c r="F50" s="2">
        <v>82</v>
      </c>
      <c r="G50" s="2">
        <v>60</v>
      </c>
      <c r="H50" s="2">
        <v>58</v>
      </c>
      <c r="I50" s="2">
        <f t="shared" si="3"/>
        <v>326</v>
      </c>
      <c r="J50" s="3">
        <f t="shared" si="4"/>
        <v>65.2</v>
      </c>
      <c r="K50" t="str">
        <f t="shared" si="5"/>
        <v>PASS</v>
      </c>
    </row>
    <row r="51" spans="1:11" x14ac:dyDescent="0.3">
      <c r="A51">
        <v>50</v>
      </c>
      <c r="B51" t="s">
        <v>65</v>
      </c>
      <c r="C51" t="s">
        <v>20</v>
      </c>
      <c r="D51" s="2">
        <v>77</v>
      </c>
      <c r="E51" s="2">
        <v>71</v>
      </c>
      <c r="F51" s="2">
        <v>78</v>
      </c>
      <c r="G51" s="2">
        <v>84</v>
      </c>
      <c r="H51" s="2">
        <v>82</v>
      </c>
      <c r="I51" s="2">
        <f t="shared" si="3"/>
        <v>392</v>
      </c>
      <c r="J51" s="3">
        <f t="shared" si="4"/>
        <v>78.400000000000006</v>
      </c>
      <c r="K51" t="str">
        <f t="shared" si="5"/>
        <v>PASS</v>
      </c>
    </row>
    <row r="52" spans="1:11" x14ac:dyDescent="0.3">
      <c r="A52">
        <v>51</v>
      </c>
      <c r="B52" t="s">
        <v>66</v>
      </c>
      <c r="C52" t="s">
        <v>12</v>
      </c>
      <c r="D52" s="2">
        <v>67</v>
      </c>
      <c r="E52" s="2">
        <v>95</v>
      </c>
      <c r="F52" s="2">
        <v>73</v>
      </c>
      <c r="G52" s="2">
        <v>84</v>
      </c>
      <c r="H52" s="2">
        <v>73</v>
      </c>
      <c r="I52" s="2">
        <f t="shared" si="3"/>
        <v>392</v>
      </c>
      <c r="J52" s="3">
        <f t="shared" si="4"/>
        <v>78.400000000000006</v>
      </c>
      <c r="K52" t="str">
        <f t="shared" si="5"/>
        <v>PASS</v>
      </c>
    </row>
    <row r="53" spans="1:11" x14ac:dyDescent="0.3">
      <c r="A53">
        <v>52</v>
      </c>
      <c r="B53" t="s">
        <v>67</v>
      </c>
      <c r="C53" t="s">
        <v>14</v>
      </c>
      <c r="D53" s="2">
        <v>87</v>
      </c>
      <c r="E53" s="2">
        <v>86</v>
      </c>
      <c r="F53" s="2">
        <v>87</v>
      </c>
      <c r="G53" s="2">
        <v>71</v>
      </c>
      <c r="H53" s="2">
        <v>80</v>
      </c>
      <c r="I53" s="2">
        <f t="shared" si="3"/>
        <v>411</v>
      </c>
      <c r="J53" s="3">
        <f t="shared" si="4"/>
        <v>82.2</v>
      </c>
      <c r="K53" t="str">
        <f t="shared" si="5"/>
        <v>PASS</v>
      </c>
    </row>
    <row r="54" spans="1:11" x14ac:dyDescent="0.3">
      <c r="A54">
        <v>53</v>
      </c>
      <c r="B54" t="s">
        <v>68</v>
      </c>
      <c r="C54" t="s">
        <v>16</v>
      </c>
      <c r="D54" s="2">
        <v>83</v>
      </c>
      <c r="E54" s="2">
        <v>95</v>
      </c>
      <c r="F54" s="2">
        <v>76</v>
      </c>
      <c r="G54" s="2">
        <v>77</v>
      </c>
      <c r="H54" s="2">
        <v>72</v>
      </c>
      <c r="I54" s="2">
        <f t="shared" si="3"/>
        <v>403</v>
      </c>
      <c r="J54" s="3">
        <f t="shared" si="4"/>
        <v>80.599999999999994</v>
      </c>
      <c r="K54" t="str">
        <f t="shared" si="5"/>
        <v>PASS</v>
      </c>
    </row>
    <row r="55" spans="1:11" x14ac:dyDescent="0.3">
      <c r="A55">
        <v>54</v>
      </c>
      <c r="B55" t="s">
        <v>69</v>
      </c>
      <c r="C55" t="s">
        <v>18</v>
      </c>
      <c r="D55" s="2">
        <v>85</v>
      </c>
      <c r="E55" s="2">
        <v>83</v>
      </c>
      <c r="F55" s="2">
        <v>85</v>
      </c>
      <c r="G55" s="2">
        <v>92</v>
      </c>
      <c r="H55" s="2">
        <v>85</v>
      </c>
      <c r="I55" s="2">
        <f t="shared" si="3"/>
        <v>430</v>
      </c>
      <c r="J55" s="3">
        <f t="shared" si="4"/>
        <v>86</v>
      </c>
      <c r="K55" t="str">
        <f t="shared" si="5"/>
        <v>PASS</v>
      </c>
    </row>
    <row r="56" spans="1:11" x14ac:dyDescent="0.3">
      <c r="A56">
        <v>55</v>
      </c>
      <c r="B56" t="s">
        <v>70</v>
      </c>
      <c r="C56" t="s">
        <v>20</v>
      </c>
      <c r="D56" s="2">
        <v>60</v>
      </c>
      <c r="E56" s="2">
        <v>89</v>
      </c>
      <c r="F56" s="2">
        <v>78</v>
      </c>
      <c r="G56" s="2">
        <v>80</v>
      </c>
      <c r="H56" s="2">
        <v>65</v>
      </c>
      <c r="I56" s="2">
        <f t="shared" si="3"/>
        <v>372</v>
      </c>
      <c r="J56" s="3">
        <f t="shared" si="4"/>
        <v>74.400000000000006</v>
      </c>
      <c r="K56" t="str">
        <f t="shared" si="5"/>
        <v>PASS</v>
      </c>
    </row>
    <row r="57" spans="1:11" x14ac:dyDescent="0.3">
      <c r="A57">
        <v>56</v>
      </c>
      <c r="B57" t="s">
        <v>71</v>
      </c>
      <c r="C57" t="s">
        <v>12</v>
      </c>
      <c r="D57" s="2">
        <v>93</v>
      </c>
      <c r="E57" s="2">
        <v>81</v>
      </c>
      <c r="F57" s="2">
        <v>91</v>
      </c>
      <c r="G57" s="2">
        <v>59</v>
      </c>
      <c r="H57" s="2">
        <v>93</v>
      </c>
      <c r="I57" s="2">
        <f t="shared" si="3"/>
        <v>417</v>
      </c>
      <c r="J57" s="3">
        <f t="shared" si="4"/>
        <v>83.4</v>
      </c>
      <c r="K57" t="str">
        <f t="shared" si="5"/>
        <v>PASS</v>
      </c>
    </row>
    <row r="58" spans="1:11" x14ac:dyDescent="0.3">
      <c r="A58">
        <v>57</v>
      </c>
      <c r="B58" t="s">
        <v>72</v>
      </c>
      <c r="C58" t="s">
        <v>14</v>
      </c>
      <c r="D58" s="2">
        <v>74</v>
      </c>
      <c r="E58" s="2">
        <v>56</v>
      </c>
      <c r="F58" s="2">
        <v>92</v>
      </c>
      <c r="G58" s="2">
        <v>75</v>
      </c>
      <c r="H58" s="2">
        <v>96</v>
      </c>
      <c r="I58" s="2">
        <f t="shared" si="3"/>
        <v>393</v>
      </c>
      <c r="J58" s="3">
        <f t="shared" si="4"/>
        <v>78.599999999999994</v>
      </c>
      <c r="K58" t="str">
        <f t="shared" si="5"/>
        <v>PASS</v>
      </c>
    </row>
    <row r="59" spans="1:11" x14ac:dyDescent="0.3">
      <c r="A59">
        <v>58</v>
      </c>
      <c r="B59" t="s">
        <v>73</v>
      </c>
      <c r="C59" t="s">
        <v>16</v>
      </c>
      <c r="D59" s="2">
        <v>75</v>
      </c>
      <c r="E59" s="2">
        <v>59</v>
      </c>
      <c r="F59" s="2">
        <v>80</v>
      </c>
      <c r="G59" s="2">
        <v>94</v>
      </c>
      <c r="H59" s="2">
        <v>78</v>
      </c>
      <c r="I59" s="2">
        <f t="shared" si="3"/>
        <v>386</v>
      </c>
      <c r="J59" s="3">
        <f t="shared" si="4"/>
        <v>77.2</v>
      </c>
      <c r="K59" t="str">
        <f t="shared" si="5"/>
        <v>PASS</v>
      </c>
    </row>
    <row r="60" spans="1:11" x14ac:dyDescent="0.3">
      <c r="A60">
        <v>59</v>
      </c>
      <c r="B60" t="s">
        <v>74</v>
      </c>
      <c r="C60" t="s">
        <v>18</v>
      </c>
      <c r="D60" s="2">
        <v>73</v>
      </c>
      <c r="E60" s="2">
        <v>93</v>
      </c>
      <c r="F60" s="2">
        <v>66</v>
      </c>
      <c r="G60" s="2">
        <v>70</v>
      </c>
      <c r="H60" s="2">
        <v>65</v>
      </c>
      <c r="I60" s="2">
        <f t="shared" si="3"/>
        <v>367</v>
      </c>
      <c r="J60" s="3">
        <f t="shared" si="4"/>
        <v>73.400000000000006</v>
      </c>
      <c r="K60" t="str">
        <f t="shared" si="5"/>
        <v>PASS</v>
      </c>
    </row>
    <row r="61" spans="1:11" x14ac:dyDescent="0.3">
      <c r="A61">
        <v>60</v>
      </c>
      <c r="B61" t="s">
        <v>75</v>
      </c>
      <c r="C61" t="s">
        <v>20</v>
      </c>
      <c r="D61" s="2">
        <v>74</v>
      </c>
      <c r="E61" s="2">
        <v>61</v>
      </c>
      <c r="F61" s="2">
        <v>90</v>
      </c>
      <c r="G61" s="2">
        <v>58</v>
      </c>
      <c r="H61" s="2">
        <v>69</v>
      </c>
      <c r="I61" s="2">
        <f t="shared" si="3"/>
        <v>352</v>
      </c>
      <c r="J61" s="3">
        <f t="shared" si="4"/>
        <v>70.400000000000006</v>
      </c>
      <c r="K61" t="str">
        <f t="shared" si="5"/>
        <v>PASS</v>
      </c>
    </row>
    <row r="62" spans="1:11" x14ac:dyDescent="0.3">
      <c r="A62">
        <v>61</v>
      </c>
      <c r="B62" t="s">
        <v>76</v>
      </c>
      <c r="C62" t="s">
        <v>12</v>
      </c>
      <c r="D62" s="2">
        <v>91</v>
      </c>
      <c r="E62" s="2">
        <v>59</v>
      </c>
      <c r="F62" s="2">
        <v>81</v>
      </c>
      <c r="G62" s="2">
        <v>67</v>
      </c>
      <c r="H62" s="2">
        <v>91</v>
      </c>
      <c r="I62" s="2">
        <f t="shared" si="3"/>
        <v>389</v>
      </c>
      <c r="J62" s="3">
        <f t="shared" si="4"/>
        <v>77.8</v>
      </c>
      <c r="K62" t="str">
        <f t="shared" si="5"/>
        <v>PASS</v>
      </c>
    </row>
    <row r="63" spans="1:11" x14ac:dyDescent="0.3">
      <c r="A63">
        <v>62</v>
      </c>
      <c r="B63" t="s">
        <v>77</v>
      </c>
      <c r="C63" t="s">
        <v>14</v>
      </c>
      <c r="D63" s="2">
        <v>91</v>
      </c>
      <c r="E63" s="2">
        <v>83</v>
      </c>
      <c r="F63" s="2">
        <v>92</v>
      </c>
      <c r="G63" s="2">
        <v>56</v>
      </c>
      <c r="H63" s="2">
        <v>80</v>
      </c>
      <c r="I63" s="2">
        <f t="shared" si="3"/>
        <v>402</v>
      </c>
      <c r="J63" s="3">
        <f t="shared" si="4"/>
        <v>80.400000000000006</v>
      </c>
      <c r="K63" t="str">
        <f t="shared" si="5"/>
        <v>PASS</v>
      </c>
    </row>
    <row r="64" spans="1:11" x14ac:dyDescent="0.3">
      <c r="A64">
        <v>63</v>
      </c>
      <c r="B64" t="s">
        <v>78</v>
      </c>
      <c r="C64" t="s">
        <v>16</v>
      </c>
      <c r="D64" s="2">
        <v>67</v>
      </c>
      <c r="E64" s="2">
        <v>76</v>
      </c>
      <c r="F64" s="2">
        <v>91</v>
      </c>
      <c r="G64" s="2">
        <v>67</v>
      </c>
      <c r="H64" s="2">
        <v>88</v>
      </c>
      <c r="I64" s="2">
        <f t="shared" si="3"/>
        <v>389</v>
      </c>
      <c r="J64" s="3">
        <f t="shared" si="4"/>
        <v>77.8</v>
      </c>
      <c r="K64" t="str">
        <f t="shared" si="5"/>
        <v>PASS</v>
      </c>
    </row>
    <row r="65" spans="1:11" x14ac:dyDescent="0.3">
      <c r="A65">
        <v>64</v>
      </c>
      <c r="B65" t="s">
        <v>79</v>
      </c>
      <c r="C65" t="s">
        <v>18</v>
      </c>
      <c r="D65" s="2">
        <v>91</v>
      </c>
      <c r="E65" s="2">
        <v>75</v>
      </c>
      <c r="F65" s="2">
        <v>58</v>
      </c>
      <c r="G65" s="2">
        <v>97</v>
      </c>
      <c r="H65" s="2">
        <v>92</v>
      </c>
      <c r="I65" s="2">
        <f t="shared" si="3"/>
        <v>413</v>
      </c>
      <c r="J65" s="3">
        <f t="shared" si="4"/>
        <v>82.6</v>
      </c>
      <c r="K65" t="str">
        <f t="shared" si="5"/>
        <v>PASS</v>
      </c>
    </row>
    <row r="66" spans="1:11" x14ac:dyDescent="0.3">
      <c r="A66">
        <v>65</v>
      </c>
      <c r="B66" t="s">
        <v>80</v>
      </c>
      <c r="C66" t="s">
        <v>20</v>
      </c>
      <c r="D66" s="2">
        <v>58</v>
      </c>
      <c r="E66" s="2">
        <v>57</v>
      </c>
      <c r="F66" s="2">
        <v>91</v>
      </c>
      <c r="G66" s="2">
        <v>78</v>
      </c>
      <c r="H66" s="2">
        <v>80</v>
      </c>
      <c r="I66" s="2">
        <f t="shared" ref="I66:I97" si="6">SUM(D66:H66)</f>
        <v>364</v>
      </c>
      <c r="J66" s="3">
        <f t="shared" ref="J66:J101" si="7">AVERAGE(D66:H66)</f>
        <v>72.8</v>
      </c>
      <c r="K66" t="str">
        <f t="shared" ref="K66:K97" si="8">IF(J66&gt;=50,"PASS","FAIL")</f>
        <v>PASS</v>
      </c>
    </row>
    <row r="67" spans="1:11" x14ac:dyDescent="0.3">
      <c r="A67">
        <v>66</v>
      </c>
      <c r="B67" t="s">
        <v>81</v>
      </c>
      <c r="C67" t="s">
        <v>12</v>
      </c>
      <c r="D67" s="2">
        <v>75</v>
      </c>
      <c r="E67" s="2">
        <v>93</v>
      </c>
      <c r="F67" s="2">
        <v>95</v>
      </c>
      <c r="G67" s="2">
        <v>65</v>
      </c>
      <c r="H67" s="2">
        <v>65</v>
      </c>
      <c r="I67" s="2">
        <f t="shared" si="6"/>
        <v>393</v>
      </c>
      <c r="J67" s="3">
        <f t="shared" si="7"/>
        <v>78.599999999999994</v>
      </c>
      <c r="K67" t="str">
        <f t="shared" si="8"/>
        <v>PASS</v>
      </c>
    </row>
    <row r="68" spans="1:11" x14ac:dyDescent="0.3">
      <c r="A68">
        <v>67</v>
      </c>
      <c r="B68" t="s">
        <v>82</v>
      </c>
      <c r="C68" t="s">
        <v>14</v>
      </c>
      <c r="D68" s="2">
        <v>62</v>
      </c>
      <c r="E68" s="2">
        <v>93</v>
      </c>
      <c r="F68" s="2">
        <v>77</v>
      </c>
      <c r="G68" s="2">
        <v>65</v>
      </c>
      <c r="H68" s="2">
        <v>56</v>
      </c>
      <c r="I68" s="2">
        <f t="shared" si="6"/>
        <v>353</v>
      </c>
      <c r="J68" s="3">
        <f t="shared" si="7"/>
        <v>70.599999999999994</v>
      </c>
      <c r="K68" t="str">
        <f t="shared" si="8"/>
        <v>PASS</v>
      </c>
    </row>
    <row r="69" spans="1:11" x14ac:dyDescent="0.3">
      <c r="A69">
        <v>68</v>
      </c>
      <c r="B69" t="s">
        <v>83</v>
      </c>
      <c r="C69" t="s">
        <v>16</v>
      </c>
      <c r="D69" s="2">
        <v>89</v>
      </c>
      <c r="E69" s="2">
        <v>87</v>
      </c>
      <c r="F69" s="2">
        <v>77</v>
      </c>
      <c r="G69" s="2">
        <v>60</v>
      </c>
      <c r="H69" s="2">
        <v>80</v>
      </c>
      <c r="I69" s="2">
        <f t="shared" si="6"/>
        <v>393</v>
      </c>
      <c r="J69" s="3">
        <f t="shared" si="7"/>
        <v>78.599999999999994</v>
      </c>
      <c r="K69" t="str">
        <f t="shared" si="8"/>
        <v>PASS</v>
      </c>
    </row>
    <row r="70" spans="1:11" x14ac:dyDescent="0.3">
      <c r="A70">
        <v>69</v>
      </c>
      <c r="B70" t="s">
        <v>84</v>
      </c>
      <c r="C70" t="s">
        <v>18</v>
      </c>
      <c r="D70" s="2">
        <v>83</v>
      </c>
      <c r="E70" s="2">
        <v>91</v>
      </c>
      <c r="F70" s="2">
        <v>77</v>
      </c>
      <c r="G70" s="2">
        <v>58</v>
      </c>
      <c r="H70" s="2">
        <v>64</v>
      </c>
      <c r="I70" s="2">
        <f t="shared" si="6"/>
        <v>373</v>
      </c>
      <c r="J70" s="3">
        <f t="shared" si="7"/>
        <v>74.599999999999994</v>
      </c>
      <c r="K70" t="str">
        <f t="shared" si="8"/>
        <v>PASS</v>
      </c>
    </row>
    <row r="71" spans="1:11" x14ac:dyDescent="0.3">
      <c r="A71">
        <v>70</v>
      </c>
      <c r="B71" t="s">
        <v>85</v>
      </c>
      <c r="C71" t="s">
        <v>20</v>
      </c>
      <c r="D71" s="2">
        <v>83</v>
      </c>
      <c r="E71" s="2">
        <v>85</v>
      </c>
      <c r="F71" s="2">
        <v>94</v>
      </c>
      <c r="G71" s="2">
        <v>83</v>
      </c>
      <c r="H71" s="2">
        <v>83</v>
      </c>
      <c r="I71" s="2">
        <f t="shared" si="6"/>
        <v>428</v>
      </c>
      <c r="J71" s="3">
        <f t="shared" si="7"/>
        <v>85.6</v>
      </c>
      <c r="K71" t="str">
        <f t="shared" si="8"/>
        <v>PASS</v>
      </c>
    </row>
    <row r="72" spans="1:11" x14ac:dyDescent="0.3">
      <c r="A72">
        <v>71</v>
      </c>
      <c r="B72" t="s">
        <v>86</v>
      </c>
      <c r="C72" t="s">
        <v>12</v>
      </c>
      <c r="D72" s="2">
        <v>93</v>
      </c>
      <c r="E72" s="2">
        <v>66</v>
      </c>
      <c r="F72" s="2">
        <v>77</v>
      </c>
      <c r="G72" s="2">
        <v>82</v>
      </c>
      <c r="H72" s="2">
        <v>76</v>
      </c>
      <c r="I72" s="2">
        <f t="shared" si="6"/>
        <v>394</v>
      </c>
      <c r="J72" s="3">
        <f t="shared" si="7"/>
        <v>78.8</v>
      </c>
      <c r="K72" t="str">
        <f t="shared" si="8"/>
        <v>PASS</v>
      </c>
    </row>
    <row r="73" spans="1:11" x14ac:dyDescent="0.3">
      <c r="A73">
        <v>72</v>
      </c>
      <c r="B73" t="s">
        <v>87</v>
      </c>
      <c r="C73" t="s">
        <v>14</v>
      </c>
      <c r="D73" s="2">
        <v>90</v>
      </c>
      <c r="E73" s="2">
        <v>87</v>
      </c>
      <c r="F73" s="2">
        <v>84</v>
      </c>
      <c r="G73" s="2">
        <v>79</v>
      </c>
      <c r="H73" s="2">
        <v>67</v>
      </c>
      <c r="I73" s="2">
        <f t="shared" si="6"/>
        <v>407</v>
      </c>
      <c r="J73" s="3">
        <f t="shared" si="7"/>
        <v>81.400000000000006</v>
      </c>
      <c r="K73" t="str">
        <f t="shared" si="8"/>
        <v>PASS</v>
      </c>
    </row>
    <row r="74" spans="1:11" x14ac:dyDescent="0.3">
      <c r="A74">
        <v>73</v>
      </c>
      <c r="B74" t="s">
        <v>88</v>
      </c>
      <c r="C74" t="s">
        <v>16</v>
      </c>
      <c r="D74" s="2">
        <v>61</v>
      </c>
      <c r="E74" s="2">
        <v>82</v>
      </c>
      <c r="F74" s="2">
        <v>96</v>
      </c>
      <c r="G74" s="2">
        <v>64</v>
      </c>
      <c r="H74" s="2">
        <v>57</v>
      </c>
      <c r="I74" s="2">
        <f t="shared" si="6"/>
        <v>360</v>
      </c>
      <c r="J74" s="3">
        <f t="shared" si="7"/>
        <v>72</v>
      </c>
      <c r="K74" t="str">
        <f t="shared" si="8"/>
        <v>PASS</v>
      </c>
    </row>
    <row r="75" spans="1:11" x14ac:dyDescent="0.3">
      <c r="A75">
        <v>74</v>
      </c>
      <c r="B75" t="s">
        <v>89</v>
      </c>
      <c r="C75" t="s">
        <v>18</v>
      </c>
      <c r="D75" s="2">
        <v>66</v>
      </c>
      <c r="E75" s="2">
        <v>95</v>
      </c>
      <c r="F75" s="2">
        <v>95</v>
      </c>
      <c r="G75" s="2">
        <v>67</v>
      </c>
      <c r="H75" s="2">
        <v>91</v>
      </c>
      <c r="I75" s="2">
        <f t="shared" si="6"/>
        <v>414</v>
      </c>
      <c r="J75" s="3">
        <f t="shared" si="7"/>
        <v>82.8</v>
      </c>
      <c r="K75" t="str">
        <f t="shared" si="8"/>
        <v>PASS</v>
      </c>
    </row>
    <row r="76" spans="1:11" x14ac:dyDescent="0.3">
      <c r="A76">
        <v>75</v>
      </c>
      <c r="B76" t="s">
        <v>90</v>
      </c>
      <c r="C76" t="s">
        <v>20</v>
      </c>
      <c r="D76" s="2">
        <v>82</v>
      </c>
      <c r="E76" s="2">
        <v>78</v>
      </c>
      <c r="F76" s="2">
        <v>90</v>
      </c>
      <c r="G76" s="2">
        <v>79</v>
      </c>
      <c r="H76" s="2">
        <v>58</v>
      </c>
      <c r="I76" s="2">
        <f t="shared" si="6"/>
        <v>387</v>
      </c>
      <c r="J76" s="3">
        <f t="shared" si="7"/>
        <v>77.400000000000006</v>
      </c>
      <c r="K76" t="str">
        <f t="shared" si="8"/>
        <v>PASS</v>
      </c>
    </row>
    <row r="77" spans="1:11" x14ac:dyDescent="0.3">
      <c r="A77">
        <v>76</v>
      </c>
      <c r="B77" t="s">
        <v>91</v>
      </c>
      <c r="C77" t="s">
        <v>12</v>
      </c>
      <c r="D77" s="2">
        <v>93</v>
      </c>
      <c r="E77" s="2">
        <v>58</v>
      </c>
      <c r="F77" s="2">
        <v>65</v>
      </c>
      <c r="G77" s="2">
        <v>74</v>
      </c>
      <c r="H77" s="2">
        <v>69</v>
      </c>
      <c r="I77" s="2">
        <f t="shared" si="6"/>
        <v>359</v>
      </c>
      <c r="J77" s="3">
        <f t="shared" si="7"/>
        <v>71.8</v>
      </c>
      <c r="K77" t="str">
        <f t="shared" si="8"/>
        <v>PASS</v>
      </c>
    </row>
    <row r="78" spans="1:11" x14ac:dyDescent="0.3">
      <c r="A78">
        <v>77</v>
      </c>
      <c r="B78" t="s">
        <v>92</v>
      </c>
      <c r="C78" t="s">
        <v>14</v>
      </c>
      <c r="D78" s="2">
        <v>58</v>
      </c>
      <c r="E78" s="2">
        <v>92</v>
      </c>
      <c r="F78" s="2">
        <v>66</v>
      </c>
      <c r="G78" s="2">
        <v>61</v>
      </c>
      <c r="H78" s="2">
        <v>95</v>
      </c>
      <c r="I78" s="2">
        <f t="shared" si="6"/>
        <v>372</v>
      </c>
      <c r="J78" s="3">
        <f t="shared" si="7"/>
        <v>74.400000000000006</v>
      </c>
      <c r="K78" t="str">
        <f t="shared" si="8"/>
        <v>PASS</v>
      </c>
    </row>
    <row r="79" spans="1:11" x14ac:dyDescent="0.3">
      <c r="A79">
        <v>78</v>
      </c>
      <c r="B79" t="s">
        <v>93</v>
      </c>
      <c r="C79" t="s">
        <v>16</v>
      </c>
      <c r="D79" s="2">
        <v>91</v>
      </c>
      <c r="E79" s="2">
        <v>78</v>
      </c>
      <c r="F79" s="2">
        <v>66</v>
      </c>
      <c r="G79" s="2">
        <v>74</v>
      </c>
      <c r="H79" s="2">
        <v>57</v>
      </c>
      <c r="I79" s="2">
        <f t="shared" si="6"/>
        <v>366</v>
      </c>
      <c r="J79" s="3">
        <f t="shared" si="7"/>
        <v>73.2</v>
      </c>
      <c r="K79" t="str">
        <f t="shared" si="8"/>
        <v>PASS</v>
      </c>
    </row>
    <row r="80" spans="1:11" x14ac:dyDescent="0.3">
      <c r="A80">
        <v>79</v>
      </c>
      <c r="B80" t="s">
        <v>94</v>
      </c>
      <c r="C80" t="s">
        <v>18</v>
      </c>
      <c r="D80" s="2">
        <v>80</v>
      </c>
      <c r="E80" s="2">
        <v>93</v>
      </c>
      <c r="F80" s="2">
        <v>82</v>
      </c>
      <c r="G80" s="2">
        <v>59</v>
      </c>
      <c r="H80" s="2">
        <v>77</v>
      </c>
      <c r="I80" s="2">
        <f t="shared" si="6"/>
        <v>391</v>
      </c>
      <c r="J80" s="3">
        <f t="shared" si="7"/>
        <v>78.2</v>
      </c>
      <c r="K80" t="str">
        <f t="shared" si="8"/>
        <v>PASS</v>
      </c>
    </row>
    <row r="81" spans="1:11" x14ac:dyDescent="0.3">
      <c r="A81">
        <v>80</v>
      </c>
      <c r="B81" t="s">
        <v>95</v>
      </c>
      <c r="C81" t="s">
        <v>20</v>
      </c>
      <c r="D81" s="2">
        <v>67</v>
      </c>
      <c r="E81" s="2">
        <v>86</v>
      </c>
      <c r="F81" s="2">
        <v>65</v>
      </c>
      <c r="G81" s="2">
        <v>65</v>
      </c>
      <c r="H81" s="2">
        <v>80</v>
      </c>
      <c r="I81" s="2">
        <f t="shared" si="6"/>
        <v>363</v>
      </c>
      <c r="J81" s="3">
        <f t="shared" si="7"/>
        <v>72.599999999999994</v>
      </c>
      <c r="K81" t="str">
        <f t="shared" si="8"/>
        <v>PASS</v>
      </c>
    </row>
    <row r="82" spans="1:11" x14ac:dyDescent="0.3">
      <c r="A82">
        <v>81</v>
      </c>
      <c r="B82" t="s">
        <v>96</v>
      </c>
      <c r="C82" t="s">
        <v>12</v>
      </c>
      <c r="D82" s="2">
        <v>84</v>
      </c>
      <c r="E82" s="2">
        <v>76</v>
      </c>
      <c r="F82" s="2">
        <v>57</v>
      </c>
      <c r="G82" s="2">
        <v>66</v>
      </c>
      <c r="H82" s="2">
        <v>66</v>
      </c>
      <c r="I82" s="2">
        <f t="shared" si="6"/>
        <v>349</v>
      </c>
      <c r="J82" s="3">
        <f t="shared" si="7"/>
        <v>69.8</v>
      </c>
      <c r="K82" t="str">
        <f t="shared" si="8"/>
        <v>PASS</v>
      </c>
    </row>
    <row r="83" spans="1:11" x14ac:dyDescent="0.3">
      <c r="A83">
        <v>82</v>
      </c>
      <c r="B83" t="s">
        <v>97</v>
      </c>
      <c r="C83" t="s">
        <v>14</v>
      </c>
      <c r="D83" s="2">
        <v>92</v>
      </c>
      <c r="E83" s="2">
        <v>81</v>
      </c>
      <c r="F83" s="2">
        <v>64</v>
      </c>
      <c r="G83" s="2">
        <v>87</v>
      </c>
      <c r="H83" s="2">
        <v>96</v>
      </c>
      <c r="I83" s="2">
        <f t="shared" si="6"/>
        <v>420</v>
      </c>
      <c r="J83" s="3">
        <f t="shared" si="7"/>
        <v>84</v>
      </c>
      <c r="K83" t="str">
        <f t="shared" si="8"/>
        <v>PASS</v>
      </c>
    </row>
    <row r="84" spans="1:11" x14ac:dyDescent="0.3">
      <c r="A84">
        <v>83</v>
      </c>
      <c r="B84" t="s">
        <v>98</v>
      </c>
      <c r="C84" t="s">
        <v>16</v>
      </c>
      <c r="D84" s="2">
        <v>80</v>
      </c>
      <c r="E84" s="2">
        <v>61</v>
      </c>
      <c r="F84" s="2">
        <v>80</v>
      </c>
      <c r="G84" s="2">
        <v>62</v>
      </c>
      <c r="H84" s="2">
        <v>70</v>
      </c>
      <c r="I84" s="2">
        <f t="shared" si="6"/>
        <v>353</v>
      </c>
      <c r="J84" s="3">
        <f t="shared" si="7"/>
        <v>70.599999999999994</v>
      </c>
      <c r="K84" t="str">
        <f t="shared" si="8"/>
        <v>PASS</v>
      </c>
    </row>
    <row r="85" spans="1:11" x14ac:dyDescent="0.3">
      <c r="A85">
        <v>84</v>
      </c>
      <c r="B85" t="s">
        <v>99</v>
      </c>
      <c r="C85" t="s">
        <v>18</v>
      </c>
      <c r="D85" s="2">
        <v>61</v>
      </c>
      <c r="E85" s="2">
        <v>82</v>
      </c>
      <c r="F85" s="2">
        <v>95</v>
      </c>
      <c r="G85" s="2">
        <v>74</v>
      </c>
      <c r="H85" s="2">
        <v>73</v>
      </c>
      <c r="I85" s="2">
        <f t="shared" si="6"/>
        <v>385</v>
      </c>
      <c r="J85" s="3">
        <f t="shared" si="7"/>
        <v>77</v>
      </c>
      <c r="K85" t="str">
        <f t="shared" si="8"/>
        <v>PASS</v>
      </c>
    </row>
    <row r="86" spans="1:11" x14ac:dyDescent="0.3">
      <c r="A86">
        <v>85</v>
      </c>
      <c r="B86" t="s">
        <v>100</v>
      </c>
      <c r="C86" t="s">
        <v>20</v>
      </c>
      <c r="D86" s="2">
        <v>89</v>
      </c>
      <c r="E86" s="2">
        <v>96</v>
      </c>
      <c r="F86" s="2">
        <v>61</v>
      </c>
      <c r="G86" s="2">
        <v>77</v>
      </c>
      <c r="H86" s="2">
        <v>88</v>
      </c>
      <c r="I86" s="2">
        <f t="shared" si="6"/>
        <v>411</v>
      </c>
      <c r="J86" s="3">
        <f t="shared" si="7"/>
        <v>82.2</v>
      </c>
      <c r="K86" t="str">
        <f t="shared" si="8"/>
        <v>PASS</v>
      </c>
    </row>
    <row r="87" spans="1:11" x14ac:dyDescent="0.3">
      <c r="A87">
        <v>86</v>
      </c>
      <c r="B87" t="s">
        <v>101</v>
      </c>
      <c r="C87" t="s">
        <v>12</v>
      </c>
      <c r="D87" s="2">
        <v>94</v>
      </c>
      <c r="E87" s="2">
        <v>85</v>
      </c>
      <c r="F87" s="2">
        <v>93</v>
      </c>
      <c r="G87" s="2">
        <v>70</v>
      </c>
      <c r="H87" s="2">
        <v>89</v>
      </c>
      <c r="I87" s="2">
        <f t="shared" si="6"/>
        <v>431</v>
      </c>
      <c r="J87" s="3">
        <f t="shared" si="7"/>
        <v>86.2</v>
      </c>
      <c r="K87" t="str">
        <f t="shared" si="8"/>
        <v>PASS</v>
      </c>
    </row>
    <row r="88" spans="1:11" x14ac:dyDescent="0.3">
      <c r="A88">
        <v>87</v>
      </c>
      <c r="B88" t="s">
        <v>102</v>
      </c>
      <c r="C88" t="s">
        <v>14</v>
      </c>
      <c r="D88" s="2">
        <v>73</v>
      </c>
      <c r="E88" s="2">
        <v>55</v>
      </c>
      <c r="F88" s="2">
        <v>97</v>
      </c>
      <c r="G88" s="2">
        <v>65</v>
      </c>
      <c r="H88" s="2">
        <v>98</v>
      </c>
      <c r="I88" s="2">
        <f t="shared" si="6"/>
        <v>388</v>
      </c>
      <c r="J88" s="3">
        <f t="shared" si="7"/>
        <v>77.599999999999994</v>
      </c>
      <c r="K88" t="str">
        <f t="shared" si="8"/>
        <v>PASS</v>
      </c>
    </row>
    <row r="89" spans="1:11" x14ac:dyDescent="0.3">
      <c r="A89">
        <v>88</v>
      </c>
      <c r="B89" t="s">
        <v>103</v>
      </c>
      <c r="C89" t="s">
        <v>16</v>
      </c>
      <c r="D89" s="2">
        <v>79</v>
      </c>
      <c r="E89" s="2">
        <v>69</v>
      </c>
      <c r="F89" s="2">
        <v>61</v>
      </c>
      <c r="G89" s="2">
        <v>87</v>
      </c>
      <c r="H89" s="2">
        <v>95</v>
      </c>
      <c r="I89" s="2">
        <f t="shared" si="6"/>
        <v>391</v>
      </c>
      <c r="J89" s="3">
        <f t="shared" si="7"/>
        <v>78.2</v>
      </c>
      <c r="K89" t="str">
        <f t="shared" si="8"/>
        <v>PASS</v>
      </c>
    </row>
    <row r="90" spans="1:11" x14ac:dyDescent="0.3">
      <c r="A90">
        <v>89</v>
      </c>
      <c r="B90" t="s">
        <v>104</v>
      </c>
      <c r="C90" t="s">
        <v>18</v>
      </c>
      <c r="D90" s="2">
        <v>85</v>
      </c>
      <c r="E90" s="2">
        <v>61</v>
      </c>
      <c r="F90" s="2">
        <v>91</v>
      </c>
      <c r="G90" s="2">
        <v>80</v>
      </c>
      <c r="H90" s="2">
        <v>92</v>
      </c>
      <c r="I90" s="2">
        <f t="shared" si="6"/>
        <v>409</v>
      </c>
      <c r="J90" s="3">
        <f t="shared" si="7"/>
        <v>81.8</v>
      </c>
      <c r="K90" t="str">
        <f t="shared" si="8"/>
        <v>PASS</v>
      </c>
    </row>
    <row r="91" spans="1:11" x14ac:dyDescent="0.3">
      <c r="A91">
        <v>90</v>
      </c>
      <c r="B91" t="s">
        <v>105</v>
      </c>
      <c r="C91" t="s">
        <v>20</v>
      </c>
      <c r="D91" s="2">
        <v>68</v>
      </c>
      <c r="E91" s="2">
        <v>73</v>
      </c>
      <c r="F91" s="2">
        <v>77</v>
      </c>
      <c r="G91" s="2">
        <v>59</v>
      </c>
      <c r="H91" s="2">
        <v>67</v>
      </c>
      <c r="I91" s="2">
        <f t="shared" si="6"/>
        <v>344</v>
      </c>
      <c r="J91" s="3">
        <f t="shared" si="7"/>
        <v>68.8</v>
      </c>
      <c r="K91" t="str">
        <f t="shared" si="8"/>
        <v>PASS</v>
      </c>
    </row>
    <row r="92" spans="1:11" x14ac:dyDescent="0.3">
      <c r="A92">
        <v>91</v>
      </c>
      <c r="B92" t="s">
        <v>106</v>
      </c>
      <c r="C92" t="s">
        <v>12</v>
      </c>
      <c r="D92" s="2">
        <v>94</v>
      </c>
      <c r="E92" s="2">
        <v>90</v>
      </c>
      <c r="F92" s="2">
        <v>88</v>
      </c>
      <c r="G92" s="2">
        <v>56</v>
      </c>
      <c r="H92" s="2">
        <v>59</v>
      </c>
      <c r="I92" s="2">
        <f t="shared" si="6"/>
        <v>387</v>
      </c>
      <c r="J92" s="3">
        <f t="shared" si="7"/>
        <v>77.400000000000006</v>
      </c>
      <c r="K92" t="str">
        <f t="shared" si="8"/>
        <v>PASS</v>
      </c>
    </row>
    <row r="93" spans="1:11" x14ac:dyDescent="0.3">
      <c r="A93">
        <v>92</v>
      </c>
      <c r="B93" t="s">
        <v>107</v>
      </c>
      <c r="C93" t="s">
        <v>14</v>
      </c>
      <c r="D93" s="2">
        <v>80</v>
      </c>
      <c r="E93" s="2">
        <v>57</v>
      </c>
      <c r="F93" s="2">
        <v>56</v>
      </c>
      <c r="G93" s="2">
        <v>96</v>
      </c>
      <c r="H93" s="2">
        <v>82</v>
      </c>
      <c r="I93" s="2">
        <f t="shared" si="6"/>
        <v>371</v>
      </c>
      <c r="J93" s="3">
        <f t="shared" si="7"/>
        <v>74.2</v>
      </c>
      <c r="K93" t="str">
        <f t="shared" si="8"/>
        <v>PASS</v>
      </c>
    </row>
    <row r="94" spans="1:11" x14ac:dyDescent="0.3">
      <c r="A94">
        <v>93</v>
      </c>
      <c r="B94" t="s">
        <v>108</v>
      </c>
      <c r="C94" t="s">
        <v>16</v>
      </c>
      <c r="D94" s="2">
        <v>76</v>
      </c>
      <c r="E94" s="2">
        <v>66</v>
      </c>
      <c r="F94" s="2">
        <v>58</v>
      </c>
      <c r="G94" s="2">
        <v>77</v>
      </c>
      <c r="H94" s="2">
        <v>75</v>
      </c>
      <c r="I94" s="2">
        <f t="shared" si="6"/>
        <v>352</v>
      </c>
      <c r="J94" s="3">
        <f t="shared" si="7"/>
        <v>70.400000000000006</v>
      </c>
      <c r="K94" t="str">
        <f t="shared" si="8"/>
        <v>PASS</v>
      </c>
    </row>
    <row r="95" spans="1:11" x14ac:dyDescent="0.3">
      <c r="A95">
        <v>94</v>
      </c>
      <c r="B95" t="s">
        <v>109</v>
      </c>
      <c r="C95" t="s">
        <v>18</v>
      </c>
      <c r="D95" s="2">
        <v>95</v>
      </c>
      <c r="E95" s="2">
        <v>85</v>
      </c>
      <c r="F95" s="2">
        <v>65</v>
      </c>
      <c r="G95" s="2">
        <v>56</v>
      </c>
      <c r="H95" s="2">
        <v>68</v>
      </c>
      <c r="I95" s="2">
        <f t="shared" si="6"/>
        <v>369</v>
      </c>
      <c r="J95" s="3">
        <f t="shared" si="7"/>
        <v>73.8</v>
      </c>
      <c r="K95" t="str">
        <f t="shared" si="8"/>
        <v>PASS</v>
      </c>
    </row>
    <row r="96" spans="1:11" x14ac:dyDescent="0.3">
      <c r="A96">
        <v>95</v>
      </c>
      <c r="B96" t="s">
        <v>110</v>
      </c>
      <c r="C96" t="s">
        <v>20</v>
      </c>
      <c r="D96" s="2">
        <v>63</v>
      </c>
      <c r="E96" s="2">
        <v>73</v>
      </c>
      <c r="F96" s="2">
        <v>67</v>
      </c>
      <c r="G96" s="2">
        <v>70</v>
      </c>
      <c r="H96" s="2">
        <v>70</v>
      </c>
      <c r="I96" s="2">
        <f t="shared" si="6"/>
        <v>343</v>
      </c>
      <c r="J96" s="3">
        <f t="shared" si="7"/>
        <v>68.599999999999994</v>
      </c>
      <c r="K96" t="str">
        <f t="shared" si="8"/>
        <v>PASS</v>
      </c>
    </row>
    <row r="97" spans="1:11" x14ac:dyDescent="0.3">
      <c r="A97">
        <v>96</v>
      </c>
      <c r="B97" t="s">
        <v>111</v>
      </c>
      <c r="C97" t="s">
        <v>12</v>
      </c>
      <c r="D97" s="2">
        <v>79</v>
      </c>
      <c r="E97" s="2">
        <v>94</v>
      </c>
      <c r="F97" s="2">
        <v>89</v>
      </c>
      <c r="G97" s="2">
        <v>92</v>
      </c>
      <c r="H97" s="2">
        <v>93</v>
      </c>
      <c r="I97" s="2">
        <f t="shared" si="6"/>
        <v>447</v>
      </c>
      <c r="J97" s="3">
        <f t="shared" si="7"/>
        <v>89.4</v>
      </c>
      <c r="K97" t="str">
        <f t="shared" si="8"/>
        <v>PASS</v>
      </c>
    </row>
    <row r="98" spans="1:11" x14ac:dyDescent="0.3">
      <c r="A98">
        <v>97</v>
      </c>
      <c r="B98" t="s">
        <v>112</v>
      </c>
      <c r="C98" t="s">
        <v>14</v>
      </c>
      <c r="D98" s="2">
        <v>81</v>
      </c>
      <c r="E98" s="2">
        <v>90</v>
      </c>
      <c r="F98" s="2">
        <v>56</v>
      </c>
      <c r="G98" s="2">
        <v>63</v>
      </c>
      <c r="H98" s="2">
        <v>55</v>
      </c>
      <c r="I98" s="2">
        <f t="shared" ref="I98:I129" si="9">SUM(D98:H98)</f>
        <v>345</v>
      </c>
      <c r="J98" s="3">
        <f t="shared" si="7"/>
        <v>69</v>
      </c>
      <c r="K98" t="str">
        <f t="shared" ref="K98:K129" si="10">IF(J98&gt;=50,"PASS","FAIL")</f>
        <v>PASS</v>
      </c>
    </row>
    <row r="99" spans="1:11" x14ac:dyDescent="0.3">
      <c r="A99">
        <v>98</v>
      </c>
      <c r="B99" t="s">
        <v>113</v>
      </c>
      <c r="C99" t="s">
        <v>16</v>
      </c>
      <c r="D99" s="2">
        <v>62</v>
      </c>
      <c r="E99" s="2">
        <v>56</v>
      </c>
      <c r="F99" s="2">
        <v>58</v>
      </c>
      <c r="G99" s="2">
        <v>98</v>
      </c>
      <c r="H99" s="2">
        <v>66</v>
      </c>
      <c r="I99" s="2">
        <f t="shared" si="9"/>
        <v>340</v>
      </c>
      <c r="J99" s="3">
        <f t="shared" si="7"/>
        <v>68</v>
      </c>
      <c r="K99" t="str">
        <f t="shared" si="10"/>
        <v>PASS</v>
      </c>
    </row>
    <row r="100" spans="1:11" x14ac:dyDescent="0.3">
      <c r="A100">
        <v>99</v>
      </c>
      <c r="B100" t="s">
        <v>114</v>
      </c>
      <c r="C100" t="s">
        <v>18</v>
      </c>
      <c r="D100" s="2">
        <v>62</v>
      </c>
      <c r="E100" s="2">
        <v>79</v>
      </c>
      <c r="F100" s="2">
        <v>59</v>
      </c>
      <c r="G100" s="2">
        <v>55</v>
      </c>
      <c r="H100" s="2">
        <v>97</v>
      </c>
      <c r="I100" s="2">
        <f t="shared" si="9"/>
        <v>352</v>
      </c>
      <c r="J100" s="3">
        <f t="shared" si="7"/>
        <v>70.400000000000006</v>
      </c>
      <c r="K100" t="str">
        <f t="shared" si="10"/>
        <v>PASS</v>
      </c>
    </row>
    <row r="101" spans="1:11" x14ac:dyDescent="0.3">
      <c r="A101">
        <v>100</v>
      </c>
      <c r="B101" t="s">
        <v>115</v>
      </c>
      <c r="C101" t="s">
        <v>20</v>
      </c>
      <c r="D101" s="2">
        <v>82</v>
      </c>
      <c r="E101" s="2">
        <v>97</v>
      </c>
      <c r="F101" s="2">
        <v>66</v>
      </c>
      <c r="G101" s="2">
        <v>94</v>
      </c>
      <c r="H101" s="2">
        <v>81</v>
      </c>
      <c r="I101" s="2">
        <f t="shared" si="9"/>
        <v>420</v>
      </c>
      <c r="J101" s="3">
        <f t="shared" si="7"/>
        <v>84</v>
      </c>
      <c r="K101" t="str">
        <f t="shared" si="10"/>
        <v>PASS</v>
      </c>
    </row>
  </sheetData>
  <autoFilter ref="A1:K101" xr:uid="{00000000-0009-0000-0000-000000000000}"/>
  <conditionalFormatting sqref="D2:H101">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cols>
    <col min="1" max="1" width="15" customWidth="1"/>
    <col min="2" max="2" width="75" customWidth="1"/>
  </cols>
  <sheetData>
    <row r="1" spans="1:2" ht="21" x14ac:dyDescent="0.4">
      <c r="A1" s="4"/>
    </row>
    <row r="2" spans="1:2" x14ac:dyDescent="0.3">
      <c r="A2" s="5" t="s">
        <v>116</v>
      </c>
      <c r="B2" t="s">
        <v>117</v>
      </c>
    </row>
    <row r="3" spans="1:2" x14ac:dyDescent="0.3">
      <c r="A3" s="5" t="s">
        <v>118</v>
      </c>
      <c r="B3" t="s">
        <v>119</v>
      </c>
    </row>
    <row r="4" spans="1:2" x14ac:dyDescent="0.3">
      <c r="A4" s="5" t="s">
        <v>120</v>
      </c>
      <c r="B4" t="s">
        <v>121</v>
      </c>
    </row>
    <row r="5" spans="1:2" x14ac:dyDescent="0.3">
      <c r="A5" s="5" t="s">
        <v>122</v>
      </c>
      <c r="B5" t="s">
        <v>123</v>
      </c>
    </row>
    <row r="6" spans="1:2" x14ac:dyDescent="0.3">
      <c r="A6" s="5" t="s">
        <v>124</v>
      </c>
      <c r="B6" t="s">
        <v>125</v>
      </c>
    </row>
    <row r="7" spans="1:2" x14ac:dyDescent="0.3">
      <c r="A7" s="5" t="s">
        <v>126</v>
      </c>
      <c r="B7" t="s">
        <v>127</v>
      </c>
    </row>
    <row r="8" spans="1:2" x14ac:dyDescent="0.3">
      <c r="A8" s="5" t="s">
        <v>128</v>
      </c>
      <c r="B8" t="s">
        <v>129</v>
      </c>
    </row>
    <row r="9" spans="1:2" x14ac:dyDescent="0.3">
      <c r="A9" s="5" t="s">
        <v>130</v>
      </c>
      <c r="B9" t="s">
        <v>131</v>
      </c>
    </row>
    <row r="10" spans="1:2" x14ac:dyDescent="0.3">
      <c r="A10" s="5" t="s">
        <v>132</v>
      </c>
      <c r="B10" t="s">
        <v>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Student Marks</vt:lpstr>
      <vt:lpstr>Student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Akshaya V</cp:lastModifiedBy>
  <dcterms:created xsi:type="dcterms:W3CDTF">2026-09-10T16:22:40Z</dcterms:created>
  <dcterms:modified xsi:type="dcterms:W3CDTF">2026-09-11T08:42:51Z</dcterms:modified>
</cp:coreProperties>
</file>